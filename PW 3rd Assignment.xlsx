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7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24519"/>
</workbook>
</file>

<file path=xl/calcChain.xml><?xml version="1.0" encoding="utf-8"?>
<calcChain xmlns="http://schemas.openxmlformats.org/spreadsheetml/2006/main">
  <c r="E11" i="7"/>
  <c r="I11" i="8"/>
  <c r="F3" i="3" l="1"/>
  <c r="H5" i="6"/>
  <c r="H6"/>
  <c r="H7"/>
  <c r="E12" i="5"/>
  <c r="G4" i="2"/>
  <c r="F3" i="1"/>
  <c r="F4"/>
  <c r="F5"/>
  <c r="F6"/>
  <c r="F7"/>
  <c r="F12" i="4"/>
  <c r="F4" i="3" l="1"/>
  <c r="F5"/>
  <c r="F6"/>
  <c r="F7"/>
  <c r="G5" i="2" l="1"/>
  <c r="G6"/>
  <c r="G7"/>
</calcChain>
</file>

<file path=xl/sharedStrings.xml><?xml version="1.0" encoding="utf-8"?>
<sst xmlns="http://schemas.openxmlformats.org/spreadsheetml/2006/main" count="96" uniqueCount="73">
  <si>
    <t>Student Name</t>
  </si>
  <si>
    <t>Marks</t>
  </si>
  <si>
    <t xml:space="preserve">Rahul </t>
  </si>
  <si>
    <t xml:space="preserve">Ram </t>
  </si>
  <si>
    <t xml:space="preserve">Riya </t>
  </si>
  <si>
    <t>Result</t>
  </si>
  <si>
    <t xml:space="preserve">Siya </t>
  </si>
  <si>
    <t xml:space="preserve">Raju </t>
  </si>
  <si>
    <t>2. A company gives a bonus if sales are above 40,000 and attendance is greater than or equal to 90%. Write a
formula to calculate whether the employee will get a bonus or not .</t>
  </si>
  <si>
    <t>Arjun</t>
  </si>
  <si>
    <t xml:space="preserve">Simran </t>
  </si>
  <si>
    <t xml:space="preserve">Anjali </t>
  </si>
  <si>
    <t>Attendance</t>
  </si>
  <si>
    <t xml:space="preserve">Employee </t>
  </si>
  <si>
    <t xml:space="preserve">Sales </t>
  </si>
  <si>
    <t>Rohit</t>
  </si>
  <si>
    <t>3. Write a nested IF formula: 
If marks in B2 are ≥ 90 → "A", ≥ 75 → "B", ≥ 50 → "C", otherwise "Fail".</t>
  </si>
  <si>
    <t>Raj</t>
  </si>
  <si>
    <t xml:space="preserve">Rani </t>
  </si>
  <si>
    <t xml:space="preserve">Neha </t>
  </si>
  <si>
    <t xml:space="preserve">Sneha </t>
  </si>
  <si>
    <t xml:space="preserve">Vivek </t>
  </si>
  <si>
    <t xml:space="preserve">Student </t>
  </si>
  <si>
    <t>Name Marks</t>
  </si>
  <si>
    <t xml:space="preserve">           </t>
  </si>
  <si>
    <t xml:space="preserve">Ans - =IF(IF(select "sales" cell&gt;40000,select "Attendance" cell&gt;=90),"Will get bonus","will not get bonus")) </t>
  </si>
  <si>
    <t xml:space="preserve">Ans - </t>
  </si>
  <si>
    <t>4. Find the Department of Employee ID = E103. Also explain which LOOKUP function is used and why?</t>
  </si>
  <si>
    <t>Department</t>
  </si>
  <si>
    <t>IT</t>
  </si>
  <si>
    <t>Sales</t>
  </si>
  <si>
    <t>HR</t>
  </si>
  <si>
    <t>Riya</t>
  </si>
  <si>
    <t>Roshni</t>
  </si>
  <si>
    <t>Finance</t>
  </si>
  <si>
    <t>E101</t>
  </si>
  <si>
    <t>E103</t>
  </si>
  <si>
    <t>EmpID</t>
  </si>
  <si>
    <t>Name</t>
  </si>
  <si>
    <t>Raju</t>
  </si>
  <si>
    <t>E102</t>
  </si>
  <si>
    <t>E104</t>
  </si>
  <si>
    <t>Sejal</t>
  </si>
  <si>
    <t>Ans - VLOOKUP searches vertically so we use VLOOKUP</t>
  </si>
  <si>
    <t>formula - =VLOOKUP(lookup value,table array,column index number)</t>
  </si>
  <si>
    <t xml:space="preserve">1. Write a formula to check if the marks in cell are greater than or equal to 40. If yes, return "Pass" , otherwise "Fail".
</t>
  </si>
  <si>
    <t>Ans - Formula =IF(select the cell&gt;=40,"Pass,"Fail")</t>
  </si>
  <si>
    <t>5. A company has set the following commission structure for its sales team:</t>
  </si>
  <si>
    <t>Sales Amount</t>
  </si>
  <si>
    <t>Commission Rate</t>
  </si>
  <si>
    <t xml:space="preserve">If a salesperson achieves sales of ₹45,000, use the VLOOKUP function to determine the commission rate applicable.
</t>
  </si>
  <si>
    <t>Note - Here we select column index number 2 because the sales person sales 45000/- which is &lt;50000/-.</t>
  </si>
  <si>
    <t>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</si>
  <si>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</si>
  <si>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</si>
  <si>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</si>
  <si>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</si>
  <si>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</si>
  <si>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</si>
  <si>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 xml:space="preserve">Write an IF function to check whether an employee has Exceeded their allowed leave balance.
</t>
  </si>
  <si>
    <t xml:space="preserve">a. If Leaves Taken &gt; Allowed Leaves, display "Exceeded".
</t>
  </si>
  <si>
    <t>Ans - =IF(F5&gt;G5,"Exceed","Not Exceed")</t>
  </si>
  <si>
    <t>7.Find the salary of EmpID = E105 using INDEX-MATCH Function.</t>
  </si>
  <si>
    <t xml:space="preserve">EmpID </t>
  </si>
  <si>
    <t>Salary</t>
  </si>
  <si>
    <t xml:space="preserve">E104 </t>
  </si>
  <si>
    <t>E105</t>
  </si>
  <si>
    <t xml:space="preserve">E106 </t>
  </si>
  <si>
    <t xml:space="preserve">E102 </t>
  </si>
  <si>
    <t xml:space="preserve">8. use the XLOOKUP function to find the Department of the employee with Emp ID = E303.
</t>
  </si>
  <si>
    <t xml:space="preserve">E101 </t>
  </si>
  <si>
    <t xml:space="preserve">E303 </t>
  </si>
  <si>
    <t xml:space="preserve">E301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</si>
</sst>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9" fontId="0" fillId="0" borderId="0" xfId="1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K15" sqref="K15"/>
    </sheetView>
  </sheetViews>
  <sheetFormatPr defaultRowHeight="15"/>
  <cols>
    <col min="1" max="1" width="77.7109375" customWidth="1"/>
    <col min="4" max="4" width="15" customWidth="1"/>
    <col min="6" max="6" width="12.5703125" customWidth="1"/>
  </cols>
  <sheetData>
    <row r="1" spans="1:6" ht="32.25" customHeight="1">
      <c r="A1" s="2" t="s">
        <v>45</v>
      </c>
    </row>
    <row r="2" spans="1:6" ht="15.75">
      <c r="A2" t="s">
        <v>46</v>
      </c>
      <c r="D2" s="4" t="s">
        <v>0</v>
      </c>
      <c r="E2" s="5" t="s">
        <v>1</v>
      </c>
      <c r="F2" s="6" t="s">
        <v>5</v>
      </c>
    </row>
    <row r="3" spans="1:6">
      <c r="D3" s="7" t="s">
        <v>4</v>
      </c>
      <c r="E3" s="7">
        <v>45</v>
      </c>
      <c r="F3" s="7" t="str">
        <f>IF(E3&gt;=40,"Pass","Fail")</f>
        <v>Pass</v>
      </c>
    </row>
    <row r="4" spans="1:6">
      <c r="C4" s="1"/>
      <c r="D4" s="7" t="s">
        <v>6</v>
      </c>
      <c r="E4" s="7">
        <v>72</v>
      </c>
      <c r="F4" s="7" t="str">
        <f t="shared" ref="F4:F7" si="0">IF(E4&gt;=40,"Pass","Fail")</f>
        <v>Pass</v>
      </c>
    </row>
    <row r="5" spans="1:6">
      <c r="C5" s="1"/>
      <c r="D5" s="7" t="s">
        <v>7</v>
      </c>
      <c r="E5" s="7">
        <v>55</v>
      </c>
      <c r="F5" s="7" t="str">
        <f t="shared" si="0"/>
        <v>Pass</v>
      </c>
    </row>
    <row r="6" spans="1:6">
      <c r="C6" s="1"/>
      <c r="D6" s="7" t="s">
        <v>2</v>
      </c>
      <c r="E6" s="7">
        <v>80</v>
      </c>
      <c r="F6" s="7" t="str">
        <f t="shared" si="0"/>
        <v>Pass</v>
      </c>
    </row>
    <row r="7" spans="1:6">
      <c r="C7" s="1"/>
      <c r="D7" s="7" t="s">
        <v>3</v>
      </c>
      <c r="E7" s="7">
        <v>30</v>
      </c>
      <c r="F7" s="7" t="str">
        <f t="shared" si="0"/>
        <v>Fail</v>
      </c>
    </row>
    <row r="8" spans="1:6">
      <c r="C8" s="1"/>
      <c r="F8" s="3"/>
    </row>
    <row r="9" spans="1:6">
      <c r="D9" s="3"/>
      <c r="E9" s="3"/>
      <c r="F9" s="7"/>
    </row>
    <row r="10" spans="1:6">
      <c r="F10" s="3"/>
    </row>
    <row r="11" spans="1:6">
      <c r="F1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selection activeCell="G5" sqref="G5"/>
    </sheetView>
  </sheetViews>
  <sheetFormatPr defaultRowHeight="15"/>
  <cols>
    <col min="1" max="1" width="96.28515625" customWidth="1"/>
    <col min="4" max="4" width="12.42578125" customWidth="1"/>
    <col min="5" max="5" width="8.140625" customWidth="1"/>
    <col min="6" max="6" width="12" customWidth="1"/>
    <col min="7" max="7" width="18.140625" customWidth="1"/>
    <col min="8" max="8" width="21.5703125" customWidth="1"/>
  </cols>
  <sheetData>
    <row r="1" spans="1:8" ht="42" customHeight="1">
      <c r="A1" s="8" t="s">
        <v>8</v>
      </c>
    </row>
    <row r="2" spans="1:8">
      <c r="A2" t="s">
        <v>25</v>
      </c>
    </row>
    <row r="3" spans="1:8" ht="15.75">
      <c r="A3" t="s">
        <v>24</v>
      </c>
      <c r="C3" s="3"/>
      <c r="D3" s="5" t="s">
        <v>13</v>
      </c>
      <c r="E3" s="5" t="s">
        <v>14</v>
      </c>
      <c r="F3" s="5" t="s">
        <v>12</v>
      </c>
      <c r="G3" s="5" t="s">
        <v>5</v>
      </c>
      <c r="H3" s="5"/>
    </row>
    <row r="4" spans="1:8" ht="15.75">
      <c r="C4" s="3"/>
      <c r="D4" s="3" t="s">
        <v>9</v>
      </c>
      <c r="E4" s="3">
        <v>55000</v>
      </c>
      <c r="F4" s="3">
        <v>95</v>
      </c>
      <c r="G4" s="3" t="str">
        <f>IF(IF(E4&gt;40000,F4&gt;=90),"Will get bonus","Will not get bonus")</f>
        <v>Will get bonus</v>
      </c>
      <c r="H4" s="5"/>
    </row>
    <row r="5" spans="1:8" ht="15.75">
      <c r="C5" s="3"/>
      <c r="D5" s="3" t="s">
        <v>10</v>
      </c>
      <c r="E5" s="3">
        <v>65000</v>
      </c>
      <c r="F5" s="3">
        <v>85</v>
      </c>
      <c r="G5" s="3" t="str">
        <f t="shared" ref="G5:G7" si="0">IF(IF(E5&gt;40000,F5&gt;=90),"Will get bonus","Will not get bonus")</f>
        <v>Will not get bonus</v>
      </c>
      <c r="H5" s="5"/>
    </row>
    <row r="6" spans="1:8" ht="15.75">
      <c r="C6" s="3"/>
      <c r="D6" s="3" t="s">
        <v>15</v>
      </c>
      <c r="E6" s="3">
        <v>30000</v>
      </c>
      <c r="F6" s="3">
        <v>90</v>
      </c>
      <c r="G6" s="3" t="str">
        <f t="shared" si="0"/>
        <v>Will not get bonus</v>
      </c>
      <c r="H6" s="5"/>
    </row>
    <row r="7" spans="1:8">
      <c r="C7" s="3"/>
      <c r="D7" s="3" t="s">
        <v>11</v>
      </c>
      <c r="E7" s="3">
        <v>25000</v>
      </c>
      <c r="F7" s="3">
        <v>65</v>
      </c>
      <c r="G7" s="3" t="str">
        <f t="shared" si="0"/>
        <v>Will not get bonus</v>
      </c>
    </row>
    <row r="8" spans="1:8">
      <c r="C8" s="3"/>
      <c r="D8" s="3"/>
      <c r="E8" s="3"/>
      <c r="F8" s="3"/>
      <c r="G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F4" sqref="F4"/>
    </sheetView>
  </sheetViews>
  <sheetFormatPr defaultRowHeight="15"/>
  <cols>
    <col min="1" max="1" width="64.85546875" customWidth="1"/>
    <col min="4" max="4" width="11.7109375" customWidth="1"/>
    <col min="5" max="5" width="13.28515625" customWidth="1"/>
    <col min="6" max="6" width="49.85546875" customWidth="1"/>
  </cols>
  <sheetData>
    <row r="1" spans="1:6" ht="36" customHeight="1">
      <c r="A1" s="2" t="s">
        <v>16</v>
      </c>
    </row>
    <row r="2" spans="1:6" ht="15.75">
      <c r="A2" t="s">
        <v>26</v>
      </c>
      <c r="C2" s="3"/>
      <c r="D2" s="5" t="s">
        <v>22</v>
      </c>
      <c r="E2" s="5" t="s">
        <v>23</v>
      </c>
      <c r="F2" s="5" t="s">
        <v>5</v>
      </c>
    </row>
    <row r="3" spans="1:6">
      <c r="C3" s="3"/>
      <c r="D3" s="3" t="s">
        <v>17</v>
      </c>
      <c r="E3" s="3">
        <v>85</v>
      </c>
      <c r="F3" s="3" t="str">
        <f>IF(E3&gt;=90,"A",IF(E3&gt;=75,"B",IF(E3&gt;=50,"C","Fail")))</f>
        <v>B</v>
      </c>
    </row>
    <row r="4" spans="1:6">
      <c r="C4" s="3"/>
      <c r="D4" s="3" t="s">
        <v>19</v>
      </c>
      <c r="E4" s="3">
        <v>96</v>
      </c>
      <c r="F4" s="3" t="str">
        <f t="shared" ref="F4:F7" si="0">IF(E4&gt;=90,"A",IF(E4&gt;=75,"B",IF(E4&gt;=50,"C","Fail")))</f>
        <v>A</v>
      </c>
    </row>
    <row r="5" spans="1:6">
      <c r="C5" s="3"/>
      <c r="D5" s="3" t="s">
        <v>21</v>
      </c>
      <c r="E5" s="3">
        <v>57</v>
      </c>
      <c r="F5" s="3" t="str">
        <f t="shared" si="0"/>
        <v>C</v>
      </c>
    </row>
    <row r="6" spans="1:6">
      <c r="C6" s="3"/>
      <c r="D6" s="3" t="s">
        <v>18</v>
      </c>
      <c r="E6" s="3">
        <v>92</v>
      </c>
      <c r="F6" s="3" t="str">
        <f t="shared" si="0"/>
        <v>A</v>
      </c>
    </row>
    <row r="7" spans="1:6">
      <c r="C7" s="3"/>
      <c r="D7" s="3" t="s">
        <v>20</v>
      </c>
      <c r="E7" s="3">
        <v>75</v>
      </c>
      <c r="F7" s="3" t="str">
        <f t="shared" si="0"/>
        <v>B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A5" sqref="A5"/>
    </sheetView>
  </sheetViews>
  <sheetFormatPr defaultRowHeight="15"/>
  <cols>
    <col min="1" max="1" width="92.7109375" customWidth="1"/>
    <col min="5" max="5" width="14.42578125" customWidth="1"/>
    <col min="6" max="6" width="14.28515625" customWidth="1"/>
    <col min="7" max="7" width="12.140625" customWidth="1"/>
  </cols>
  <sheetData>
    <row r="1" spans="1:8" ht="20.25" customHeight="1">
      <c r="A1" s="10" t="s">
        <v>27</v>
      </c>
    </row>
    <row r="4" spans="1:8">
      <c r="A4" t="s">
        <v>43</v>
      </c>
      <c r="D4" s="11" t="s">
        <v>37</v>
      </c>
      <c r="E4" s="11" t="s">
        <v>38</v>
      </c>
      <c r="F4" s="11" t="s">
        <v>28</v>
      </c>
    </row>
    <row r="5" spans="1:8">
      <c r="A5" t="s">
        <v>44</v>
      </c>
      <c r="D5" s="12" t="s">
        <v>35</v>
      </c>
      <c r="E5" s="12" t="s">
        <v>39</v>
      </c>
      <c r="F5" s="12" t="s">
        <v>29</v>
      </c>
    </row>
    <row r="6" spans="1:8">
      <c r="D6" s="12" t="s">
        <v>40</v>
      </c>
      <c r="E6" s="12" t="s">
        <v>32</v>
      </c>
      <c r="F6" s="12" t="s">
        <v>31</v>
      </c>
    </row>
    <row r="7" spans="1:8">
      <c r="D7" s="12" t="s">
        <v>36</v>
      </c>
      <c r="E7" s="12" t="s">
        <v>33</v>
      </c>
      <c r="F7" s="12" t="s">
        <v>34</v>
      </c>
    </row>
    <row r="8" spans="1:8">
      <c r="D8" s="12" t="s">
        <v>41</v>
      </c>
      <c r="E8" s="12" t="s">
        <v>42</v>
      </c>
      <c r="F8" s="12" t="s">
        <v>30</v>
      </c>
    </row>
    <row r="11" spans="1:8" ht="15.75">
      <c r="D11" s="9"/>
      <c r="E11" s="13" t="s">
        <v>37</v>
      </c>
      <c r="F11" s="13" t="s">
        <v>28</v>
      </c>
      <c r="G11" s="9"/>
      <c r="H11" s="9"/>
    </row>
    <row r="12" spans="1:8">
      <c r="E12" s="3" t="s">
        <v>36</v>
      </c>
      <c r="F12" s="3" t="str">
        <f>VLOOKUP(E12,D5:F8,3)</f>
        <v>Finance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D17" sqref="D17"/>
    </sheetView>
  </sheetViews>
  <sheetFormatPr defaultRowHeight="15"/>
  <cols>
    <col min="1" max="1" width="70.7109375" customWidth="1"/>
    <col min="4" max="4" width="14.28515625" customWidth="1"/>
    <col min="5" max="5" width="16.85546875" customWidth="1"/>
  </cols>
  <sheetData>
    <row r="1" spans="1:7" ht="25.5" customHeight="1">
      <c r="A1" t="s">
        <v>47</v>
      </c>
    </row>
    <row r="2" spans="1:7">
      <c r="C2" s="3"/>
      <c r="D2" s="3"/>
      <c r="E2" s="3"/>
      <c r="F2" s="3"/>
      <c r="G2" s="3"/>
    </row>
    <row r="3" spans="1:7" ht="38.25" customHeight="1">
      <c r="A3" s="2" t="s">
        <v>50</v>
      </c>
      <c r="F3" s="3"/>
      <c r="G3" s="3"/>
    </row>
    <row r="4" spans="1:7" ht="15.75">
      <c r="A4" t="s">
        <v>26</v>
      </c>
      <c r="C4" s="5"/>
      <c r="D4" s="5" t="s">
        <v>48</v>
      </c>
      <c r="E4" s="5" t="s">
        <v>49</v>
      </c>
      <c r="F4" s="3"/>
      <c r="G4" s="3"/>
    </row>
    <row r="5" spans="1:7" ht="27.75" customHeight="1">
      <c r="A5" s="15" t="s">
        <v>51</v>
      </c>
      <c r="C5" s="3"/>
      <c r="D5" s="3">
        <v>0</v>
      </c>
      <c r="E5" s="14">
        <v>0.05</v>
      </c>
      <c r="F5" s="3"/>
      <c r="G5" s="3"/>
    </row>
    <row r="6" spans="1:7">
      <c r="C6" s="3"/>
      <c r="D6" s="3">
        <v>20000</v>
      </c>
      <c r="E6" s="14">
        <v>0.1</v>
      </c>
      <c r="F6" s="3"/>
      <c r="G6" s="3"/>
    </row>
    <row r="7" spans="1:7">
      <c r="C7" s="3"/>
      <c r="D7" s="3">
        <v>50000</v>
      </c>
      <c r="E7" s="14">
        <v>0.15</v>
      </c>
      <c r="F7" s="3"/>
      <c r="G7" s="3"/>
    </row>
    <row r="8" spans="1:7">
      <c r="C8" s="3"/>
      <c r="D8" s="3">
        <v>80000</v>
      </c>
      <c r="E8" s="14">
        <v>0.2</v>
      </c>
      <c r="F8" s="3"/>
      <c r="G8" s="3"/>
    </row>
    <row r="9" spans="1:7">
      <c r="C9" s="3"/>
      <c r="D9" s="3"/>
      <c r="E9" s="3"/>
      <c r="F9" s="3"/>
      <c r="G9" s="3"/>
    </row>
    <row r="11" spans="1:7" ht="15.75">
      <c r="C11" s="9"/>
      <c r="D11" s="9" t="s">
        <v>48</v>
      </c>
      <c r="E11" s="9" t="s">
        <v>49</v>
      </c>
    </row>
    <row r="12" spans="1:7">
      <c r="C12" s="3"/>
      <c r="D12" s="3">
        <v>45000</v>
      </c>
      <c r="E12" s="16">
        <f>VLOOKUP(D12,D5:E8,2)</f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H6" sqref="H6"/>
    </sheetView>
  </sheetViews>
  <sheetFormatPr defaultRowHeight="15"/>
  <cols>
    <col min="1" max="1" width="77.140625" customWidth="1"/>
    <col min="4" max="4" width="8.42578125" customWidth="1"/>
    <col min="5" max="5" width="18" customWidth="1"/>
    <col min="6" max="6" width="14.7109375" customWidth="1"/>
    <col min="7" max="7" width="15.28515625" customWidth="1"/>
    <col min="8" max="8" width="14.85546875" customWidth="1"/>
  </cols>
  <sheetData>
    <row r="1" spans="1:8" ht="24.75" customHeight="1">
      <c r="A1" t="s">
        <v>52</v>
      </c>
    </row>
    <row r="2" spans="1:8" ht="45">
      <c r="A2" s="2" t="s">
        <v>59</v>
      </c>
    </row>
    <row r="3" spans="1:8" ht="15" customHeight="1"/>
    <row r="4" spans="1:8" ht="20.25" customHeight="1">
      <c r="A4" s="2" t="s">
        <v>60</v>
      </c>
      <c r="E4" s="17" t="s">
        <v>53</v>
      </c>
      <c r="F4" s="17" t="s">
        <v>54</v>
      </c>
      <c r="G4" s="17" t="s">
        <v>55</v>
      </c>
      <c r="H4" s="17" t="s">
        <v>5</v>
      </c>
    </row>
    <row r="5" spans="1:8">
      <c r="A5" t="s">
        <v>61</v>
      </c>
      <c r="E5" s="12" t="s">
        <v>56</v>
      </c>
      <c r="F5" s="12">
        <v>10</v>
      </c>
      <c r="G5" s="17">
        <v>12</v>
      </c>
      <c r="H5" s="17" t="str">
        <f>IF(F5&gt;G5,"Exceed","Not Exceed")</f>
        <v>Not Exceed</v>
      </c>
    </row>
    <row r="6" spans="1:8">
      <c r="E6" s="12" t="s">
        <v>57</v>
      </c>
      <c r="F6" s="12">
        <v>10</v>
      </c>
      <c r="G6" s="12">
        <v>15</v>
      </c>
      <c r="H6" s="17" t="str">
        <f t="shared" ref="H6:H7" si="0">IF(F6&gt;G6,"Exceed","Not Exceed")</f>
        <v>Not Exceed</v>
      </c>
    </row>
    <row r="7" spans="1:8">
      <c r="E7" s="12" t="s">
        <v>58</v>
      </c>
      <c r="F7" s="12">
        <v>8</v>
      </c>
      <c r="G7" s="12">
        <v>12</v>
      </c>
      <c r="H7" s="17" t="str">
        <f t="shared" si="0"/>
        <v>Not Exceed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A3" sqref="A3"/>
    </sheetView>
  </sheetViews>
  <sheetFormatPr defaultRowHeight="15"/>
  <cols>
    <col min="1" max="1" width="72.140625" customWidth="1"/>
  </cols>
  <sheetData>
    <row r="1" spans="1:6" ht="20.25" customHeight="1">
      <c r="A1" t="s">
        <v>62</v>
      </c>
    </row>
    <row r="3" spans="1:6" ht="15.75">
      <c r="A3" t="s">
        <v>26</v>
      </c>
      <c r="D3" s="5" t="s">
        <v>63</v>
      </c>
      <c r="E3" s="5" t="s">
        <v>64</v>
      </c>
      <c r="F3" s="5"/>
    </row>
    <row r="4" spans="1:6">
      <c r="C4" s="3"/>
      <c r="D4" s="7" t="s">
        <v>65</v>
      </c>
      <c r="E4" s="3">
        <v>55000</v>
      </c>
    </row>
    <row r="5" spans="1:6">
      <c r="C5" s="3"/>
      <c r="D5" s="3" t="s">
        <v>66</v>
      </c>
      <c r="E5" s="3">
        <v>72000</v>
      </c>
    </row>
    <row r="6" spans="1:6">
      <c r="C6" s="3"/>
      <c r="D6" s="3" t="s">
        <v>67</v>
      </c>
      <c r="E6" s="3">
        <v>62000</v>
      </c>
    </row>
    <row r="7" spans="1:6">
      <c r="C7" s="3"/>
      <c r="D7" s="3" t="s">
        <v>68</v>
      </c>
      <c r="E7" s="3">
        <v>41000</v>
      </c>
    </row>
    <row r="8" spans="1:6">
      <c r="C8" s="3"/>
      <c r="D8" s="3"/>
      <c r="E8" s="3"/>
    </row>
    <row r="9" spans="1:6">
      <c r="C9" s="3"/>
      <c r="D9" s="3"/>
      <c r="E9" s="3"/>
    </row>
    <row r="10" spans="1:6" ht="15.75">
      <c r="C10" s="3"/>
      <c r="D10" s="5" t="s">
        <v>63</v>
      </c>
      <c r="E10" s="5" t="s">
        <v>64</v>
      </c>
      <c r="F10" s="5"/>
    </row>
    <row r="11" spans="1:6">
      <c r="D11" s="3" t="s">
        <v>66</v>
      </c>
      <c r="E11">
        <f>INDEX(E4:E7,MATCH(D11,D4:D7,0))</f>
        <v>72000</v>
      </c>
    </row>
    <row r="15" spans="1:6">
      <c r="E15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I12" sqref="I12"/>
    </sheetView>
  </sheetViews>
  <sheetFormatPr defaultRowHeight="15"/>
  <cols>
    <col min="1" max="1" width="67.85546875" customWidth="1"/>
  </cols>
  <sheetData>
    <row r="1" spans="1:9" ht="34.5" customHeight="1">
      <c r="A1" s="2" t="s">
        <v>69</v>
      </c>
    </row>
    <row r="3" spans="1:9" ht="15.75">
      <c r="C3" s="6"/>
      <c r="D3" s="6" t="s">
        <v>63</v>
      </c>
      <c r="E3" s="6" t="s">
        <v>64</v>
      </c>
    </row>
    <row r="4" spans="1:9">
      <c r="D4" s="3" t="s">
        <v>70</v>
      </c>
      <c r="E4" s="3" t="s">
        <v>31</v>
      </c>
    </row>
    <row r="5" spans="1:9">
      <c r="D5" s="3" t="s">
        <v>71</v>
      </c>
      <c r="E5" s="3" t="s">
        <v>29</v>
      </c>
    </row>
    <row r="6" spans="1:9">
      <c r="D6" s="3" t="s">
        <v>67</v>
      </c>
      <c r="E6" s="3" t="s">
        <v>30</v>
      </c>
    </row>
    <row r="7" spans="1:9">
      <c r="D7" s="3" t="s">
        <v>72</v>
      </c>
      <c r="E7" s="3" t="s">
        <v>34</v>
      </c>
    </row>
    <row r="8" spans="1:9">
      <c r="D8" s="3"/>
      <c r="E8" s="3"/>
    </row>
    <row r="9" spans="1:9">
      <c r="D9" s="3"/>
      <c r="E9" s="3"/>
    </row>
    <row r="10" spans="1:9" ht="15.75">
      <c r="D10" s="5" t="s">
        <v>37</v>
      </c>
      <c r="E10" s="5" t="s">
        <v>64</v>
      </c>
      <c r="F10" s="5"/>
      <c r="G10" s="5"/>
    </row>
    <row r="11" spans="1:9">
      <c r="D11" s="3" t="s">
        <v>71</v>
      </c>
      <c r="E11" s="3"/>
      <c r="I11" t="e">
        <f ca="1">XLOOKUP(D11,D4:D7,E4:E7)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2025-12-22T20:54:52Z</dcterms:modified>
</cp:coreProperties>
</file>