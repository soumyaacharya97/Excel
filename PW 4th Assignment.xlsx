
<file path=[Content_Types].xml><?xml version="1.0" encoding="utf-8"?>
<Types xmlns="http://schemas.openxmlformats.org/package/2006/content-types">
  <Default Extension="bin" ContentType="application/vnd.openxmlformats-officedocument.spreadsheetml.printerSettings"/>
  <Override PartName="/xl/pivotTables/pivotTable5.xml" ContentType="application/vnd.openxmlformats-officedocument.spreadsheetml.pivotTable+xml"/>
  <Override PartName="/xl/pivotTables/pivotTable6.xml" ContentType="application/vnd.openxmlformats-officedocument.spreadsheetml.pivotTable+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pivotTables/pivotTable3.xml" ContentType="application/vnd.openxmlformats-officedocument.spreadsheetml.pivotTable+xml"/>
  <Override PartName="/xl/pivotTables/pivotTable4.xml" ContentType="application/vnd.openxmlformats-officedocument.spreadsheetml.pivot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5.xml" ContentType="application/vnd.openxmlformats-officedocument.spreadsheetml.pivotCacheRecords+xml"/>
  <Override PartName="/xl/calcChain.xml" ContentType="application/vnd.openxmlformats-officedocument.spreadsheetml.calcChain+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7.xml" ContentType="application/vnd.openxmlformats-officedocument.spreadsheetml.pivot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10"/>
  </bookViews>
  <sheets>
    <sheet name="Sales Dataset " sheetId="1" r:id="rId1"/>
    <sheet name="Q1" sheetId="2" r:id="rId2"/>
    <sheet name="Q2" sheetId="3" r:id="rId3"/>
    <sheet name="Q3" sheetId="4" r:id="rId4"/>
    <sheet name="Q4" sheetId="5" r:id="rId5"/>
    <sheet name="Q5" sheetId="6" r:id="rId6"/>
    <sheet name="Q6" sheetId="7" r:id="rId7"/>
    <sheet name="Q7" sheetId="8" r:id="rId8"/>
    <sheet name="Q8" sheetId="9" r:id="rId9"/>
    <sheet name="Q9" sheetId="11" r:id="rId10"/>
    <sheet name="Q10" sheetId="12" r:id="rId11"/>
  </sheets>
  <definedNames>
    <definedName name="_xlnm._FilterDatabase" localSheetId="4" hidden="1">'Q4'!$D$32:$H$52</definedName>
  </definedNames>
  <calcPr calcId="124519"/>
  <pivotCaches>
    <pivotCache cacheId="0" r:id="rId12"/>
    <pivotCache cacheId="1" r:id="rId13"/>
    <pivotCache cacheId="2" r:id="rId14"/>
    <pivotCache cacheId="3" r:id="rId15"/>
    <pivotCache cacheId="4" r:id="rId16"/>
  </pivotCaches>
</workbook>
</file>

<file path=xl/calcChain.xml><?xml version="1.0" encoding="utf-8"?>
<calcChain xmlns="http://schemas.openxmlformats.org/spreadsheetml/2006/main">
  <c r="I4" i="4"/>
  <c r="I5"/>
  <c r="I6"/>
  <c r="I7"/>
  <c r="I8"/>
  <c r="I9"/>
  <c r="I10"/>
  <c r="I11"/>
  <c r="I12"/>
  <c r="I13"/>
  <c r="I14"/>
  <c r="I15"/>
  <c r="I16"/>
  <c r="I17"/>
  <c r="I18"/>
  <c r="I19"/>
  <c r="I20"/>
  <c r="I21"/>
  <c r="I22"/>
  <c r="I23"/>
</calcChain>
</file>

<file path=xl/sharedStrings.xml><?xml version="1.0" encoding="utf-8"?>
<sst xmlns="http://schemas.openxmlformats.org/spreadsheetml/2006/main" count="403" uniqueCount="65">
  <si>
    <t>Date</t>
  </si>
  <si>
    <t>Region</t>
  </si>
  <si>
    <t>Product</t>
  </si>
  <si>
    <t>Sales</t>
  </si>
  <si>
    <t>Quantity</t>
  </si>
  <si>
    <t>West</t>
  </si>
  <si>
    <t>Mangoes</t>
  </si>
  <si>
    <t>South</t>
  </si>
  <si>
    <t>Oranges</t>
  </si>
  <si>
    <t>Apples</t>
  </si>
  <si>
    <t>East</t>
  </si>
  <si>
    <t>North</t>
  </si>
  <si>
    <t xml:space="preserve">
</t>
  </si>
  <si>
    <t>This dataset represents fruit sales across different regions within the first 6 months of 2024. </t>
  </si>
  <si>
    <t xml:space="preserve">Columns Explanation:
Date → Transaction date (Jan–Jun 2024).
Region → Sales region (East, West, North, South).
Product → Type of fruit sold (Apples, Oranges,Mangoes).
Sales → Total sales amount (₹).
Quantity → Units sold. 
Tools for Analysis:
Excel → PivotTables, Conditional Formatting, Charts, Dashboards. 
</t>
  </si>
  <si>
    <t xml:space="preserve">2. Create a PivotTable to show Total Sales by Region.
</t>
  </si>
  <si>
    <t>Row Labels</t>
  </si>
  <si>
    <t>Grand Total</t>
  </si>
  <si>
    <t>Sum of Sales</t>
  </si>
  <si>
    <t>Ans -</t>
  </si>
  <si>
    <t xml:space="preserve">3.Apply Conditional Formatting to highlight sales greater than 400. 
</t>
  </si>
  <si>
    <t>Result</t>
  </si>
  <si>
    <t xml:space="preserve">5. Create a PivotChart showing Monthly Sales Trend.
</t>
  </si>
  <si>
    <t xml:space="preserve">6. Use a Slicer to filter data by Product and observe changes in sales. 
</t>
  </si>
  <si>
    <t>a. Sales by Region (PivotTable + Chart)</t>
  </si>
  <si>
    <t xml:space="preserve">Ans- </t>
  </si>
  <si>
    <t xml:space="preserve">Ans - </t>
  </si>
  <si>
    <t xml:space="preserve">8. Create a Dashboard that includes:
</t>
  </si>
  <si>
    <t>c. Monthly Trend (Line Chart)</t>
  </si>
  <si>
    <t xml:space="preserve">1. What is the purpose of a PivotTable in Excel?
</t>
  </si>
  <si>
    <t>Purpose of Pivot table :-</t>
  </si>
  <si>
    <t>a. Summarizing Data -                                                                                                                                           Quickly calculate totals, averages, counts, or other statistics for different categories.                       Ex- Sum of sales per region or total units sold per product.</t>
  </si>
  <si>
    <t>b. Data Analysis -                                                                                                                                                                 Identify trends, patterns, and outliers in the data.                                                                                                  Ex- Comparing monthly sales performance.</t>
  </si>
  <si>
    <t xml:space="preserve"> c. Data Organization -                                                                                                                                                       Re arrange rows and columns to view data from different prospective.                                                     Ex- Switch rows and columns to see product performance by month instead of by region.                                                                                                                                                                                                                                                                                                                                                                                                                                                                                                                                  </t>
  </si>
  <si>
    <t>d. Filtering and Sorting -                                                                                                                                                  Focus on specific subsets of data using filters or slicers.                                                                                     Ex- Show sales only for "Apples" in the "North" region.</t>
  </si>
  <si>
    <t xml:space="preserve">c. Dynamic and Interactive Reports -                                                                                                                            Easily update summaries when the underlying data changes.                                                                          Ex-  Adding new sales records automatically updates the PivotTable summary.                                                </t>
  </si>
  <si>
    <t xml:space="preserve">4. Explain the difference between Sorting and Filtering with an example from this dataset.
</t>
  </si>
  <si>
    <t>This is original data sheet</t>
  </si>
  <si>
    <t>This data sheet is sort by "region"</t>
  </si>
  <si>
    <t>This data sheet is sort by "Product"</t>
  </si>
  <si>
    <t xml:space="preserve">Sorting :- Sorting means arranging data in specific manner like sorting by A to Z, sorting by region, sorting by product etc.                                                                                                                 Formula - Go to "Data" section select on "Sort"                                                                                                                </t>
  </si>
  <si>
    <t>Here I filter "Apple" and hide other Product</t>
  </si>
  <si>
    <t xml:space="preserve">Filtering :- Filtering in rows is temporarly hide rows that don’t meet specific criteria.                                                                                                                                              Formula - Go to "Data" section select on "Filter"   </t>
  </si>
  <si>
    <t>Months (Date)</t>
  </si>
  <si>
    <t>Sum of Quantity</t>
  </si>
  <si>
    <t>Jan</t>
  </si>
  <si>
    <t>Jan Total</t>
  </si>
  <si>
    <t>Feb</t>
  </si>
  <si>
    <t>Feb Total</t>
  </si>
  <si>
    <t>Mar</t>
  </si>
  <si>
    <t>Mar Total</t>
  </si>
  <si>
    <t>Apr</t>
  </si>
  <si>
    <t>Apr Total</t>
  </si>
  <si>
    <t>May</t>
  </si>
  <si>
    <t>May Total</t>
  </si>
  <si>
    <t>Jun</t>
  </si>
  <si>
    <t>Jun Total</t>
  </si>
  <si>
    <t>Why are Dashboards important for decision-making in business analysis</t>
  </si>
  <si>
    <t>Dashboards are crucial for business analysis decision-making because
they consolidate complex data into clear, visual, real-time snapshots, enabling quick identification of trends, performance gaps, and opportunities.</t>
  </si>
  <si>
    <t>9. Group dates in the PivotTable into Months and calculate the average sales per month</t>
  </si>
  <si>
    <t>Month</t>
  </si>
  <si>
    <t>Average of Sales</t>
  </si>
  <si>
    <t>Average Sales</t>
  </si>
  <si>
    <t>10. Combine Apples and Oranges into one group called Fruits and compare its sales with other products</t>
  </si>
  <si>
    <t>Fruits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</si>
</sst>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center" wrapText="1"/>
    </xf>
    <xf numFmtId="0" fontId="0" fillId="0" borderId="3" xfId="0" applyBorder="1" applyAlignment="1">
      <alignment horizontal="center" wrapText="1"/>
    </xf>
    <xf numFmtId="0" fontId="0" fillId="0" borderId="0" xfId="0" applyAlignment="1">
      <alignment horizontal="center"/>
    </xf>
    <xf numFmtId="0" fontId="0" fillId="0" borderId="0" xfId="0" applyAlignment="1">
      <alignment wrapText="1"/>
    </xf>
    <xf numFmtId="0" fontId="0" fillId="0" borderId="0" xfId="0" applyAlignment="1">
      <alignment horizontal="left" vertical="top" wrapText="1"/>
    </xf>
    <xf numFmtId="0" fontId="0" fillId="0" borderId="0" xfId="0" pivotButton="1"/>
    <xf numFmtId="0" fontId="0" fillId="0" borderId="0" xfId="0" applyAlignment="1">
      <alignment horizontal="left"/>
    </xf>
    <xf numFmtId="0" fontId="0" fillId="0" borderId="0" xfId="0" applyNumberFormat="1"/>
    <xf numFmtId="0" fontId="1" fillId="0" borderId="4" xfId="0" applyFont="1" applyFill="1" applyBorder="1" applyAlignment="1">
      <alignment horizontal="center" vertical="top" wrapText="1"/>
    </xf>
    <xf numFmtId="22" fontId="0" fillId="0" borderId="0" xfId="0" applyNumberFormat="1" applyAlignment="1">
      <alignment horizontal="left"/>
    </xf>
    <xf numFmtId="0" fontId="0" fillId="0" borderId="0" xfId="0" applyAlignment="1">
      <alignment vertical="top" wrapText="1"/>
    </xf>
    <xf numFmtId="0" fontId="0" fillId="0" borderId="5" xfId="0" applyBorder="1" applyAlignment="1">
      <alignment horizontal="center"/>
    </xf>
    <xf numFmtId="22" fontId="0" fillId="0" borderId="5" xfId="0" applyNumberFormat="1" applyBorder="1" applyAlignment="1">
      <alignment horizontal="center"/>
    </xf>
    <xf numFmtId="0" fontId="0" fillId="0" borderId="5" xfId="0" applyNumberFormat="1" applyBorder="1" applyAlignment="1">
      <alignment horizontal="center"/>
    </xf>
    <xf numFmtId="0" fontId="0" fillId="0" borderId="5" xfId="0" pivotButton="1" applyBorder="1" applyAlignment="1">
      <alignment horizontal="center"/>
    </xf>
    <xf numFmtId="1" fontId="0" fillId="0" borderId="5" xfId="0" applyNumberFormat="1" applyBorder="1" applyAlignment="1">
      <alignment horizontal="center"/>
    </xf>
    <xf numFmtId="0" fontId="0" fillId="0" borderId="5" xfId="0" applyBorder="1"/>
    <xf numFmtId="0" fontId="0" fillId="0" borderId="5" xfId="0" applyBorder="1" applyAlignment="1">
      <alignment horizontal="left"/>
    </xf>
    <xf numFmtId="0" fontId="0" fillId="0" borderId="5" xfId="0" applyNumberFormat="1" applyBorder="1"/>
    <xf numFmtId="0" fontId="0" fillId="0" borderId="5" xfId="0" applyBorder="1" applyAlignment="1">
      <alignment horizontal="left" indent="1"/>
    </xf>
    <xf numFmtId="0" fontId="0" fillId="0" borderId="5" xfId="0" pivotButton="1" applyBorder="1"/>
  </cellXfs>
  <cellStyles count="1">
    <cellStyle name="Normal" xfId="0" builtinId="0"/>
  </cellStyles>
  <dxfs count="3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chart1.xml><?xml version="1.0" encoding="utf-8"?>
<c:chartSpace xmlns:c="http://schemas.openxmlformats.org/drawingml/2006/chart" xmlns:a="http://schemas.openxmlformats.org/drawingml/2006/main" xmlns:r="http://schemas.openxmlformats.org/officeDocument/2006/relationships">
  <c:lang val="en-US"/>
  <c:pivotSource>
    <c:name>[PW 4th Assignment.xlsx]Q5!PivotTable1</c:name>
    <c:fmtId val="0"/>
  </c:pivotSource>
  <c:chart>
    <c:title>
      <c:layout>
        <c:manualLayout>
          <c:xMode val="edge"/>
          <c:yMode val="edge"/>
          <c:x val="0.44686716791979975"/>
          <c:y val="0"/>
        </c:manualLayout>
      </c:layout>
    </c:title>
    <c:pivotFmts>
      <c:pivotFmt>
        <c:idx val="0"/>
        <c:marker>
          <c:symbol val="none"/>
        </c:marker>
      </c:pivotFmt>
    </c:pivotFmts>
    <c:plotArea>
      <c:layout/>
      <c:barChart>
        <c:barDir val="col"/>
        <c:grouping val="clustered"/>
        <c:ser>
          <c:idx val="0"/>
          <c:order val="0"/>
          <c:tx>
            <c:strRef>
              <c:f>'Q5'!$E$3</c:f>
              <c:strCache>
                <c:ptCount val="1"/>
                <c:pt idx="0">
                  <c:v>Total</c:v>
                </c:pt>
              </c:strCache>
            </c:strRef>
          </c:tx>
          <c:cat>
            <c:strRef>
              <c:f>'Q5'!$D$4:$D$24</c:f>
              <c:strCache>
                <c:ptCount val="20"/>
                <c:pt idx="0">
                  <c:v>01-01-24 0:00</c:v>
                </c:pt>
                <c:pt idx="1">
                  <c:v>10-01-24 12:37</c:v>
                </c:pt>
                <c:pt idx="2">
                  <c:v>20-01-24 1:15</c:v>
                </c:pt>
                <c:pt idx="3">
                  <c:v>29-01-24 13:53</c:v>
                </c:pt>
                <c:pt idx="4">
                  <c:v>08-02-24 2:31</c:v>
                </c:pt>
                <c:pt idx="5">
                  <c:v>17-02-24 15:09</c:v>
                </c:pt>
                <c:pt idx="6">
                  <c:v>27-02-24 3:47</c:v>
                </c:pt>
                <c:pt idx="7">
                  <c:v>07-03-24 16:25</c:v>
                </c:pt>
                <c:pt idx="8">
                  <c:v>17-03-24 5:03</c:v>
                </c:pt>
                <c:pt idx="9">
                  <c:v>26-03-24 17:41</c:v>
                </c:pt>
                <c:pt idx="10">
                  <c:v>05-04-24 6:18</c:v>
                </c:pt>
                <c:pt idx="11">
                  <c:v>14-04-24 18:56</c:v>
                </c:pt>
                <c:pt idx="12">
                  <c:v>24-04-24 7:34</c:v>
                </c:pt>
                <c:pt idx="13">
                  <c:v>03-05-24 20:12</c:v>
                </c:pt>
                <c:pt idx="14">
                  <c:v>13-05-24 8:50</c:v>
                </c:pt>
                <c:pt idx="15">
                  <c:v>22-05-24 21:28</c:v>
                </c:pt>
                <c:pt idx="16">
                  <c:v>01-06-24 10:06</c:v>
                </c:pt>
                <c:pt idx="17">
                  <c:v>10-06-24 22:44</c:v>
                </c:pt>
                <c:pt idx="18">
                  <c:v>20-06-24 11:22</c:v>
                </c:pt>
                <c:pt idx="19">
                  <c:v>30-06-24 0:00</c:v>
                </c:pt>
              </c:strCache>
            </c:strRef>
          </c:cat>
          <c:val>
            <c:numRef>
              <c:f>'Q5'!$E$4:$E$24</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er>
        <c:axId val="78365824"/>
        <c:axId val="78367360"/>
      </c:barChart>
      <c:catAx>
        <c:axId val="78365824"/>
        <c:scaling>
          <c:orientation val="minMax"/>
        </c:scaling>
        <c:axPos val="b"/>
        <c:tickLblPos val="nextTo"/>
        <c:crossAx val="78367360"/>
        <c:crosses val="autoZero"/>
        <c:auto val="1"/>
        <c:lblAlgn val="ctr"/>
        <c:lblOffset val="100"/>
      </c:catAx>
      <c:valAx>
        <c:axId val="78367360"/>
        <c:scaling>
          <c:orientation val="minMax"/>
        </c:scaling>
        <c:axPos val="l"/>
        <c:majorGridlines/>
        <c:numFmt formatCode="General" sourceLinked="1"/>
        <c:tickLblPos val="nextTo"/>
        <c:crossAx val="78365824"/>
        <c:crosses val="autoZero"/>
        <c:crossBetween val="between"/>
      </c:valAx>
    </c:plotArea>
    <c:legend>
      <c:legendPos val="r"/>
      <c:layout/>
    </c:legend>
    <c:plotVisOnly val="1"/>
  </c:chart>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pivotSource>
    <c:name>[PW 4th Assignment.xlsx]Q8!PivotTable2</c:name>
    <c:fmtId val="0"/>
  </c:pivotSource>
  <c:chart>
    <c:title>
      <c:layout>
        <c:manualLayout>
          <c:xMode val="edge"/>
          <c:yMode val="edge"/>
          <c:x val="0.42136095936968226"/>
          <c:y val="4.1666666666666664E-2"/>
        </c:manualLayout>
      </c:layout>
    </c:title>
    <c:pivotFmts>
      <c:pivotFmt>
        <c:idx val="0"/>
        <c:marker>
          <c:symbol val="none"/>
        </c:marker>
        <c:dLbl>
          <c:idx val="0"/>
          <c:layout/>
          <c:spPr/>
          <c:txPr>
            <a:bodyPr/>
            <a:lstStyle/>
            <a:p>
              <a:pPr>
                <a:defRPr/>
              </a:pPr>
              <a:endParaRPr lang="en-US"/>
            </a:p>
          </c:txPr>
          <c:showVal val="1"/>
        </c:dLbl>
      </c:pivotFmt>
    </c:pivotFmts>
    <c:plotArea>
      <c:layout/>
      <c:barChart>
        <c:barDir val="col"/>
        <c:grouping val="stacked"/>
        <c:ser>
          <c:idx val="0"/>
          <c:order val="0"/>
          <c:tx>
            <c:strRef>
              <c:f>'Q8'!$E$4</c:f>
              <c:strCache>
                <c:ptCount val="1"/>
                <c:pt idx="0">
                  <c:v>Total</c:v>
                </c:pt>
              </c:strCache>
            </c:strRef>
          </c:tx>
          <c:dLbls>
            <c:spPr/>
            <c:txPr>
              <a:bodyPr/>
              <a:lstStyle/>
              <a:p>
                <a:pPr>
                  <a:defRPr/>
                </a:pPr>
                <a:endParaRPr lang="en-US"/>
              </a:p>
            </c:txPr>
            <c:showVal val="1"/>
          </c:dLbls>
          <c:cat>
            <c:strRef>
              <c:f>'Q8'!$D$5:$D$9</c:f>
              <c:strCache>
                <c:ptCount val="4"/>
                <c:pt idx="0">
                  <c:v>East</c:v>
                </c:pt>
                <c:pt idx="1">
                  <c:v>North</c:v>
                </c:pt>
                <c:pt idx="2">
                  <c:v>South</c:v>
                </c:pt>
                <c:pt idx="3">
                  <c:v>West</c:v>
                </c:pt>
              </c:strCache>
            </c:strRef>
          </c:cat>
          <c:val>
            <c:numRef>
              <c:f>'Q8'!$E$5:$E$9</c:f>
              <c:numCache>
                <c:formatCode>General</c:formatCode>
                <c:ptCount val="4"/>
                <c:pt idx="0">
                  <c:v>467</c:v>
                </c:pt>
                <c:pt idx="1">
                  <c:v>347</c:v>
                </c:pt>
                <c:pt idx="2">
                  <c:v>2518</c:v>
                </c:pt>
                <c:pt idx="3">
                  <c:v>3497</c:v>
                </c:pt>
              </c:numCache>
            </c:numRef>
          </c:val>
        </c:ser>
        <c:overlap val="100"/>
        <c:axId val="79223808"/>
        <c:axId val="79237888"/>
      </c:barChart>
      <c:catAx>
        <c:axId val="79223808"/>
        <c:scaling>
          <c:orientation val="minMax"/>
        </c:scaling>
        <c:axPos val="b"/>
        <c:tickLblPos val="nextTo"/>
        <c:crossAx val="79237888"/>
        <c:crosses val="autoZero"/>
        <c:auto val="1"/>
        <c:lblAlgn val="ctr"/>
        <c:lblOffset val="100"/>
      </c:catAx>
      <c:valAx>
        <c:axId val="79237888"/>
        <c:scaling>
          <c:orientation val="minMax"/>
        </c:scaling>
        <c:axPos val="l"/>
        <c:majorGridlines/>
        <c:numFmt formatCode="General" sourceLinked="1"/>
        <c:tickLblPos val="nextTo"/>
        <c:crossAx val="79223808"/>
        <c:crosses val="autoZero"/>
        <c:crossBetween val="between"/>
      </c:valAx>
      <c:spPr>
        <a:noFill/>
      </c:spPr>
    </c:plotArea>
    <c:legend>
      <c:legendPos val="r"/>
      <c:layout/>
    </c:legend>
    <c:plotVisOnly val="1"/>
  </c:chart>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pivotSource>
    <c:name>[PW 4th Assignment.xlsx]Q8!PivotTable4</c:name>
    <c:fmtId val="0"/>
  </c:pivotSource>
  <c:chart>
    <c:title>
      <c:layout/>
    </c:title>
    <c:pivotFmts>
      <c:pivotFmt>
        <c:idx val="0"/>
      </c:pivotFmt>
    </c:pivotFmts>
    <c:plotArea>
      <c:layout/>
      <c:lineChart>
        <c:grouping val="standard"/>
        <c:ser>
          <c:idx val="0"/>
          <c:order val="0"/>
          <c:tx>
            <c:strRef>
              <c:f>'Q8'!$E$22</c:f>
              <c:strCache>
                <c:ptCount val="1"/>
                <c:pt idx="0">
                  <c:v>Total</c:v>
                </c:pt>
              </c:strCache>
            </c:strRef>
          </c:tx>
          <c:cat>
            <c:strRef>
              <c:f>'Q8'!$D$23:$D$43</c:f>
              <c:strCache>
                <c:ptCount val="20"/>
                <c:pt idx="0">
                  <c:v>01-01-24 0:00</c:v>
                </c:pt>
                <c:pt idx="1">
                  <c:v>10-01-24 12:37</c:v>
                </c:pt>
                <c:pt idx="2">
                  <c:v>20-01-24 1:15</c:v>
                </c:pt>
                <c:pt idx="3">
                  <c:v>29-01-24 13:53</c:v>
                </c:pt>
                <c:pt idx="4">
                  <c:v>08-02-24 2:31</c:v>
                </c:pt>
                <c:pt idx="5">
                  <c:v>17-02-24 15:09</c:v>
                </c:pt>
                <c:pt idx="6">
                  <c:v>27-02-24 3:47</c:v>
                </c:pt>
                <c:pt idx="7">
                  <c:v>07-03-24 16:25</c:v>
                </c:pt>
                <c:pt idx="8">
                  <c:v>17-03-24 5:03</c:v>
                </c:pt>
                <c:pt idx="9">
                  <c:v>26-03-24 17:41</c:v>
                </c:pt>
                <c:pt idx="10">
                  <c:v>05-04-24 6:18</c:v>
                </c:pt>
                <c:pt idx="11">
                  <c:v>14-04-24 18:56</c:v>
                </c:pt>
                <c:pt idx="12">
                  <c:v>24-04-24 7:34</c:v>
                </c:pt>
                <c:pt idx="13">
                  <c:v>03-05-24 20:12</c:v>
                </c:pt>
                <c:pt idx="14">
                  <c:v>13-05-24 8:50</c:v>
                </c:pt>
                <c:pt idx="15">
                  <c:v>22-05-24 21:28</c:v>
                </c:pt>
                <c:pt idx="16">
                  <c:v>01-06-24 10:06</c:v>
                </c:pt>
                <c:pt idx="17">
                  <c:v>10-06-24 22:44</c:v>
                </c:pt>
                <c:pt idx="18">
                  <c:v>20-06-24 11:22</c:v>
                </c:pt>
                <c:pt idx="19">
                  <c:v>30-06-24 0:00</c:v>
                </c:pt>
              </c:strCache>
            </c:strRef>
          </c:cat>
          <c:val>
            <c:numRef>
              <c:f>'Q8'!$E$23:$E$43</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er>
        <c:marker val="1"/>
        <c:axId val="110078976"/>
        <c:axId val="111555328"/>
      </c:lineChart>
      <c:catAx>
        <c:axId val="110078976"/>
        <c:scaling>
          <c:orientation val="minMax"/>
        </c:scaling>
        <c:axPos val="b"/>
        <c:tickLblPos val="nextTo"/>
        <c:crossAx val="111555328"/>
        <c:crosses val="autoZero"/>
        <c:auto val="1"/>
        <c:lblAlgn val="ctr"/>
        <c:lblOffset val="100"/>
      </c:catAx>
      <c:valAx>
        <c:axId val="111555328"/>
        <c:scaling>
          <c:orientation val="minMax"/>
        </c:scaling>
        <c:axPos val="l"/>
        <c:majorGridlines/>
        <c:numFmt formatCode="General" sourceLinked="1"/>
        <c:tickLblPos val="nextTo"/>
        <c:crossAx val="110078976"/>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419100</xdr:colOff>
      <xdr:row>4</xdr:row>
      <xdr:rowOff>47625</xdr:rowOff>
    </xdr:from>
    <xdr:to>
      <xdr:col>15</xdr:col>
      <xdr:colOff>0</xdr:colOff>
      <xdr:row>18</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10</xdr:col>
      <xdr:colOff>152400</xdr:colOff>
      <xdr:row>7</xdr:row>
      <xdr:rowOff>9525</xdr:rowOff>
    </xdr:from>
    <xdr:ext cx="1828800" cy="1238250"/>
    <xdr:sp macro="" textlink="">
      <xdr:nvSpPr>
        <xdr:cNvPr id="3" name="Rectangle 2"/>
        <xdr:cNvSpPr>
          <a:spLocks noTextEdit="1"/>
        </xdr:cNvSpPr>
      </xdr:nvSpPr>
      <xdr:spPr>
        <a:xfrm>
          <a:off x="6629400" y="1952625"/>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7</xdr:col>
      <xdr:colOff>9525</xdr:colOff>
      <xdr:row>2</xdr:row>
      <xdr:rowOff>180974</xdr:rowOff>
    </xdr:from>
    <xdr:to>
      <xdr:col>15</xdr:col>
      <xdr:colOff>171450</xdr:colOff>
      <xdr:row>17</xdr:row>
      <xdr:rowOff>57149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457200</xdr:colOff>
      <xdr:row>21</xdr:row>
      <xdr:rowOff>0</xdr:rowOff>
    </xdr:from>
    <xdr:to>
      <xdr:col>16</xdr:col>
      <xdr:colOff>152400</xdr:colOff>
      <xdr:row>35</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Assignment/Pivot%20Table%20&amp;%20Charts.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Assignment/Pivot%20Table%20&amp;%20Charts.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Assignment/Pivot%20Table%20&amp;%20Charts.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Author" refreshedDate="46015.639261226854" createdVersion="3" refreshedVersion="3" minRefreshableVersion="3" recordCount="20">
  <cacheSource type="worksheet">
    <worksheetSource name="'Sales Dataset '!$A$1:$E$21"/>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6015.694462268519" createdVersion="3" refreshedVersion="3" minRefreshableVersion="3" recordCount="20">
  <cacheSource type="worksheet">
    <worksheetSource ref="A1:E21" sheet="Sales Dataset "/>
  </cacheSource>
  <cacheFields count="5">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pivotCacheDefinition>
</file>

<file path=xl/pivotCache/pivotCacheDefinition3.xml><?xml version="1.0" encoding="utf-8"?>
<pivotCacheDefinition xmlns="http://schemas.openxmlformats.org/spreadsheetml/2006/main" xmlns:r="http://schemas.openxmlformats.org/officeDocument/2006/relationships" r:id="rId1" refreshedBy="Author" refreshedDate="46006.868185648149" createdVersion="8" refreshedVersion="3" minRefreshableVersion="3" recordCount="20">
  <cacheSource type="worksheet">
    <worksheetSource ref="A1:E21" sheet="DATA SET" r:id="rId2"/>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pivotCacheDefinition>
</file>

<file path=xl/pivotCache/pivotCacheDefinition4.xml><?xml version="1.0" encoding="utf-8"?>
<pivotCacheDefinition xmlns="http://schemas.openxmlformats.org/spreadsheetml/2006/main" xmlns:r="http://schemas.openxmlformats.org/officeDocument/2006/relationships" r:id="rId1" refreshedBy="Author" refreshedDate="46006.868185648149" createdVersion="8" refreshedVersion="3" minRefreshableVersion="3" recordCount="20">
  <cacheSource type="worksheet">
    <worksheetSource ref="A1:E21" sheet="DATA SET" r:id="rId2"/>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pivotCacheDefinition>
</file>

<file path=xl/pivotCache/pivotCacheDefinition5.xml><?xml version="1.0" encoding="utf-8"?>
<pivotCacheDefinition xmlns="http://schemas.openxmlformats.org/spreadsheetml/2006/main" xmlns:r="http://schemas.openxmlformats.org/officeDocument/2006/relationships" r:id="rId1" refreshedBy="Author" refreshedDate="46006.923952546298" createdVersion="8" refreshedVersion="3" minRefreshableVersion="3" recordCount="20">
  <cacheSource type="worksheet">
    <worksheetSource ref="C7:G24" sheet="Q10" r:id="rId2"/>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3.xml><?xml version="1.0" encoding="utf-8"?>
<pivotCacheRecords xmlns="http://schemas.openxmlformats.org/spreadsheetml/2006/main" xmlns:r="http://schemas.openxmlformats.org/officeDocument/2006/relationships"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5.xml><?xml version="1.0" encoding="utf-8"?>
<pivotCacheRecords xmlns="http://schemas.openxmlformats.org/spreadsheetml/2006/main" xmlns:r="http://schemas.openxmlformats.org/officeDocument/2006/relationships"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D3:E8"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D3:E24" firstHeaderRow="1" firstDataRow="1" firstDataCol="1"/>
  <pivotFields count="5">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6">
  <location ref="E8:J35" firstHeaderRow="0" firstDataRow="1" firstDataCol="4"/>
  <pivotFields count="6">
    <pivotField axis="axisRow" compact="0" numFmtId="22" outline="0" showAll="0" sortType="ascending" defaultSubtotal="0">
      <items count="20">
        <item x="0"/>
        <item x="1"/>
        <item x="2"/>
        <item x="3"/>
        <item x="4"/>
        <item x="5"/>
        <item x="6"/>
        <item x="7"/>
        <item x="8"/>
        <item x="9"/>
        <item x="10"/>
        <item x="11"/>
        <item x="12"/>
        <item x="13"/>
        <item x="14"/>
        <item x="15"/>
        <item x="16"/>
        <item x="17"/>
        <item x="18"/>
        <item x="19"/>
      </items>
    </pivotField>
    <pivotField axis="axisRow" compact="0" outline="0" showAll="0" defaultSubtotal="0">
      <items count="4">
        <item x="2"/>
        <item x="3"/>
        <item x="1"/>
        <item x="0"/>
      </items>
    </pivotField>
    <pivotField axis="axisRow" compact="0" outline="0" showAll="0" defaultSubtotal="0">
      <items count="3">
        <item x="2"/>
        <item x="0"/>
        <item x="1"/>
      </items>
    </pivotField>
    <pivotField dataField="1" compact="0" outline="0" showAll="0"/>
    <pivotField dataField="1" compact="0" outline="0" showAll="0"/>
    <pivotField axis="axisRow" compact="0" outline="0" showAll="0">
      <items count="15">
        <item x="0"/>
        <item x="1"/>
        <item x="2"/>
        <item x="3"/>
        <item x="4"/>
        <item x="5"/>
        <item x="6"/>
        <item x="7"/>
        <item x="8"/>
        <item x="9"/>
        <item x="10"/>
        <item x="11"/>
        <item x="12"/>
        <item x="13"/>
        <item t="default"/>
      </items>
    </pivotField>
  </pivotFields>
  <rowFields count="4">
    <field x="5"/>
    <field x="0"/>
    <field x="1"/>
    <field x="2"/>
  </rowFields>
  <rowItems count="27">
    <i>
      <x v="1"/>
      <x/>
      <x v="3"/>
      <x v="1"/>
    </i>
    <i r="1">
      <x v="1"/>
      <x v="2"/>
      <x v="2"/>
    </i>
    <i r="1">
      <x v="2"/>
      <x v="2"/>
      <x v="1"/>
    </i>
    <i r="1">
      <x v="3"/>
      <x v="3"/>
      <x/>
    </i>
    <i t="default">
      <x v="1"/>
    </i>
    <i>
      <x v="2"/>
      <x v="4"/>
      <x v="3"/>
      <x v="1"/>
    </i>
    <i r="1">
      <x v="5"/>
      <x v="3"/>
      <x v="2"/>
    </i>
    <i r="1">
      <x v="6"/>
      <x v="2"/>
      <x/>
    </i>
    <i t="default">
      <x v="2"/>
    </i>
    <i>
      <x v="3"/>
      <x v="7"/>
      <x v="3"/>
      <x/>
    </i>
    <i r="1">
      <x v="8"/>
      <x v="2"/>
      <x v="1"/>
    </i>
    <i r="1">
      <x v="9"/>
      <x v="3"/>
      <x v="2"/>
    </i>
    <i t="default">
      <x v="3"/>
    </i>
    <i>
      <x v="4"/>
      <x v="10"/>
      <x v="2"/>
      <x v="1"/>
    </i>
    <i r="1">
      <x v="11"/>
      <x v="3"/>
      <x v="2"/>
    </i>
    <i r="1">
      <x v="12"/>
      <x/>
      <x v="1"/>
    </i>
    <i t="default">
      <x v="4"/>
    </i>
    <i>
      <x v="5"/>
      <x v="13"/>
      <x v="3"/>
      <x v="1"/>
    </i>
    <i r="1">
      <x v="14"/>
      <x v="2"/>
      <x v="2"/>
    </i>
    <i r="1">
      <x v="15"/>
      <x v="2"/>
      <x v="1"/>
    </i>
    <i t="default">
      <x v="5"/>
    </i>
    <i>
      <x v="6"/>
      <x v="16"/>
      <x v="3"/>
      <x v="2"/>
    </i>
    <i r="1">
      <x v="17"/>
      <x v="3"/>
      <x/>
    </i>
    <i r="1">
      <x v="18"/>
      <x v="1"/>
      <x v="2"/>
    </i>
    <i r="1">
      <x v="19"/>
      <x v="2"/>
      <x/>
    </i>
    <i t="default">
      <x v="6"/>
    </i>
    <i t="grand">
      <x/>
    </i>
  </rowItems>
  <colFields count="1">
    <field x="-2"/>
  </colFields>
  <colItems count="2">
    <i>
      <x/>
    </i>
    <i i="1">
      <x v="1"/>
    </i>
  </colItems>
  <dataFields count="2">
    <dataField name="Sum of Sales" fld="3" baseField="0" baseItem="0"/>
    <dataField name="Sum of Quantity" fld="4" baseField="0" baseItem="0"/>
  </dataFields>
  <formats count="16">
    <format dxfId="35">
      <pivotArea type="all" dataOnly="0" outline="0" fieldPosition="0"/>
    </format>
    <format dxfId="34">
      <pivotArea outline="0" collapsedLevelsAreSubtotals="1" fieldPosition="0"/>
    </format>
    <format dxfId="33">
      <pivotArea field="0" type="button" dataOnly="0" labelOnly="1" outline="0" axis="axisRow" fieldPosition="1"/>
    </format>
    <format dxfId="32">
      <pivotArea field="1" type="button" dataOnly="0" labelOnly="1" outline="0" axis="axisRow" fieldPosition="2"/>
    </format>
    <format dxfId="31">
      <pivotArea field="2" type="button" dataOnly="0" labelOnly="1" outline="0" axis="axisRow" fieldPosition="3"/>
    </format>
    <format dxfId="30">
      <pivotArea dataOnly="0" labelOnly="1" outline="0" fieldPosition="0">
        <references count="1">
          <reference field="0" count="0"/>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 dxfId="27">
      <pivotArea type="all" dataOnly="0" outline="0" fieldPosition="0"/>
    </format>
    <format dxfId="26">
      <pivotArea outline="0" collapsedLevelsAreSubtotals="1" fieldPosition="0"/>
    </format>
    <format dxfId="25">
      <pivotArea field="0" type="button" dataOnly="0" labelOnly="1" outline="0" axis="axisRow" fieldPosition="1"/>
    </format>
    <format dxfId="24">
      <pivotArea field="1" type="button" dataOnly="0" labelOnly="1" outline="0" axis="axisRow" fieldPosition="2"/>
    </format>
    <format dxfId="23">
      <pivotArea field="2" type="button" dataOnly="0" labelOnly="1" outline="0" axis="axisRow" fieldPosition="3"/>
    </format>
    <format dxfId="22">
      <pivotArea dataOnly="0" labelOnly="1" outline="0" fieldPosition="0">
        <references count="1">
          <reference field="0"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s>
  <chartFormats count="4">
    <chartFormat chart="24" format="26"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0"/>
          </reference>
        </references>
      </pivotArea>
    </chartFormat>
    <chartFormat chart="24" format="27" series="1">
      <pivotArea type="data" outline="0" fieldPosition="0">
        <references count="1">
          <reference field="4294967294" count="1" selected="0">
            <x v="1"/>
          </reference>
        </references>
      </pivotArea>
    </chartFormat>
    <chartFormat chart="12"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D22:E43" firstHeaderRow="1" firstDataRow="1" firstDataCol="1"/>
  <pivotFields count="5">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D4:E9"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PivotTable1" cacheId="3" applyNumberFormats="0" applyBorderFormats="0" applyFontFormats="0" applyPatternFormats="0" applyAlignmentFormats="0" applyWidthHeightFormats="1" dataCaption="Values" grandTotalCaption="Average Sales" updatedVersion="8" minRefreshableVersion="3" useAutoFormatting="1" itemPrintTitles="1" createdVersion="8" indent="0" outline="1" outlineData="1" multipleFieldFilters="0" rowHeaderCaption="Month">
  <location ref="D4:E11" firstHeaderRow="1" firstDataRow="1" firstDataCol="1"/>
  <pivotFields count="6">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5"/>
  </rowFields>
  <rowItems count="7">
    <i>
      <x v="1"/>
    </i>
    <i>
      <x v="2"/>
    </i>
    <i>
      <x v="3"/>
    </i>
    <i>
      <x v="4"/>
    </i>
    <i>
      <x v="5"/>
    </i>
    <i>
      <x v="6"/>
    </i>
    <i t="grand">
      <x/>
    </i>
  </rowItems>
  <colItems count="1">
    <i/>
  </colItems>
  <dataFields count="1">
    <dataField name="Average of Sales" fld="3" subtotal="average" baseField="0" baseItem="0" numFmtId="1"/>
  </dataFields>
  <formats count="14">
    <format dxfId="6">
      <pivotArea grandRow="1" outline="0" collapsedLevelsAreSubtotals="1" fieldPosition="0"/>
    </format>
    <format dxfId="7">
      <pivotArea type="all" dataOnly="0" outline="0" fieldPosition="0"/>
    </format>
    <format dxfId="8">
      <pivotArea outline="0" collapsedLevelsAreSubtotals="1" fieldPosition="0"/>
    </format>
    <format dxfId="9">
      <pivotArea dataOnly="0" labelOnly="1" grandRow="1" outline="0" fieldPosition="0"/>
    </format>
    <format dxfId="10">
      <pivotArea dataOnly="0" labelOnly="1" outline="0" axis="axisValues" fieldPosition="0"/>
    </format>
    <format dxfId="11">
      <pivotArea type="all" dataOnly="0" outline="0" fieldPosition="0"/>
    </format>
    <format dxfId="12">
      <pivotArea outline="0" collapsedLevelsAreSubtotals="1" fieldPosition="0"/>
    </format>
    <format dxfId="13">
      <pivotArea dataOnly="0" labelOnly="1" grandRow="1" outline="0" fieldPosition="0"/>
    </format>
    <format dxfId="14">
      <pivotArea dataOnly="0" labelOnly="1" outline="0" axis="axisValues" fieldPosition="0"/>
    </format>
    <format dxfId="15">
      <pivotArea outline="0" collapsedLevelsAreSubtotals="1" fieldPosition="0"/>
    </format>
    <format dxfId="16">
      <pivotArea type="all" dataOnly="0" outline="0" fieldPosition="0"/>
    </format>
    <format dxfId="17">
      <pivotArea outline="0" collapsedLevelsAreSubtotals="1" fieldPosition="0"/>
    </format>
    <format dxfId="18">
      <pivotArea dataOnly="0" labelOnly="1" grandRow="1" outline="0" fieldPosition="0"/>
    </format>
    <format dxfId="19">
      <pivotArea dataOnly="0" labelOnly="1" outline="0" axis="axisValues" fieldPosition="0"/>
    </format>
  </formats>
  <pivotTableStyleInfo name="PivotStyleLight16" showRowHeaders="1" showColHeaders="1" showRowStripes="0" showColStripes="0" showLastColumn="1"/>
</pivotTableDefinition>
</file>

<file path=xl/pivotTables/pivotTable7.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E4:F10"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x="1"/>
        <item x="0"/>
        <item t="default"/>
      </items>
    </pivotField>
  </pivotFields>
  <rowFields count="2">
    <field x="5"/>
    <field x="2"/>
  </rowFields>
  <rowItems count="6">
    <i>
      <x/>
    </i>
    <i r="1">
      <x/>
    </i>
    <i r="1">
      <x v="2"/>
    </i>
    <i>
      <x v="1"/>
    </i>
    <i r="1">
      <x v="1"/>
    </i>
    <i t="grand">
      <x/>
    </i>
  </rowItems>
  <colItems count="1">
    <i/>
  </colItems>
  <dataFields count="1">
    <dataField name="Sum of Sales" fld="3" baseField="0" baseItem="0"/>
  </dataFields>
  <formats count="6">
    <format dxfId="0">
      <pivotArea type="all" dataOnly="0" outline="0" fieldPosition="0"/>
    </format>
    <format dxfId="1">
      <pivotArea outline="0" collapsedLevelsAreSubtotals="1" fieldPosition="0"/>
    </format>
    <format dxfId="2">
      <pivotArea field="5" type="button" dataOnly="0" labelOnly="1" outline="0" axis="axisRow" fieldPosition="0"/>
    </format>
    <format dxfId="3">
      <pivotArea dataOnly="0" labelOnly="1" fieldPosition="0">
        <references count="1">
          <reference field="5" count="0"/>
        </references>
      </pivotArea>
    </format>
    <format dxfId="4">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dimension ref="A1:G25"/>
  <sheetViews>
    <sheetView workbookViewId="0">
      <selection activeCell="F22" sqref="A1:F22"/>
    </sheetView>
  </sheetViews>
  <sheetFormatPr defaultRowHeight="15"/>
  <cols>
    <col min="1" max="1" width="15.28515625" customWidth="1"/>
    <col min="2" max="2" width="9.140625" customWidth="1"/>
    <col min="7" max="7" width="84.85546875" customWidth="1"/>
  </cols>
  <sheetData>
    <row r="1" spans="1:7" ht="15.75" customHeight="1" thickBot="1">
      <c r="A1" s="1" t="s">
        <v>0</v>
      </c>
      <c r="B1" s="2" t="s">
        <v>1</v>
      </c>
      <c r="C1" s="2" t="s">
        <v>2</v>
      </c>
      <c r="D1" s="2" t="s">
        <v>3</v>
      </c>
      <c r="E1" s="2" t="s">
        <v>4</v>
      </c>
      <c r="G1" s="6" t="s">
        <v>12</v>
      </c>
    </row>
    <row r="2" spans="1:7" ht="15.75" thickBot="1">
      <c r="A2" s="3">
        <v>45292</v>
      </c>
      <c r="B2" s="4" t="s">
        <v>5</v>
      </c>
      <c r="C2" s="4" t="s">
        <v>6</v>
      </c>
      <c r="D2" s="4">
        <v>456</v>
      </c>
      <c r="E2" s="4">
        <v>93</v>
      </c>
    </row>
    <row r="3" spans="1:7" ht="15.75" thickBot="1">
      <c r="A3" s="3">
        <v>45301.526319444441</v>
      </c>
      <c r="B3" s="4" t="s">
        <v>7</v>
      </c>
      <c r="C3" s="4" t="s">
        <v>8</v>
      </c>
      <c r="D3" s="4">
        <v>348</v>
      </c>
      <c r="E3" s="4">
        <v>56</v>
      </c>
    </row>
    <row r="4" spans="1:7" ht="15.75" thickBot="1">
      <c r="A4" s="3">
        <v>45311.052627314813</v>
      </c>
      <c r="B4" s="4" t="s">
        <v>7</v>
      </c>
      <c r="C4" s="4" t="s">
        <v>6</v>
      </c>
      <c r="D4" s="4">
        <v>247</v>
      </c>
      <c r="E4" s="4">
        <v>76</v>
      </c>
    </row>
    <row r="5" spans="1:7" ht="15.75" thickBot="1">
      <c r="A5" s="3">
        <v>45320.578946759262</v>
      </c>
      <c r="B5" s="4" t="s">
        <v>5</v>
      </c>
      <c r="C5" s="4" t="s">
        <v>9</v>
      </c>
      <c r="D5" s="4">
        <v>230</v>
      </c>
      <c r="E5" s="4">
        <v>37</v>
      </c>
    </row>
    <row r="6" spans="1:7" ht="15.75" thickBot="1">
      <c r="A6" s="3">
        <v>45330.105266203704</v>
      </c>
      <c r="B6" s="4" t="s">
        <v>5</v>
      </c>
      <c r="C6" s="4" t="s">
        <v>6</v>
      </c>
      <c r="D6" s="4">
        <v>281</v>
      </c>
      <c r="E6" s="4">
        <v>50</v>
      </c>
    </row>
    <row r="7" spans="1:7" ht="15.75" thickBot="1">
      <c r="A7" s="3">
        <v>45339.631574074076</v>
      </c>
      <c r="B7" s="4" t="s">
        <v>5</v>
      </c>
      <c r="C7" s="4" t="s">
        <v>8</v>
      </c>
      <c r="D7" s="4">
        <v>334</v>
      </c>
      <c r="E7" s="4">
        <v>52</v>
      </c>
    </row>
    <row r="8" spans="1:7" ht="15.75" thickBot="1">
      <c r="A8" s="3">
        <v>45349.157893518517</v>
      </c>
      <c r="B8" s="4" t="s">
        <v>7</v>
      </c>
      <c r="C8" s="4" t="s">
        <v>9</v>
      </c>
      <c r="D8" s="4">
        <v>417</v>
      </c>
      <c r="E8" s="4">
        <v>29</v>
      </c>
    </row>
    <row r="9" spans="1:7" ht="15.75" thickBot="1">
      <c r="A9" s="3">
        <v>45358.684212962966</v>
      </c>
      <c r="B9" s="4" t="s">
        <v>5</v>
      </c>
      <c r="C9" s="4" t="s">
        <v>9</v>
      </c>
      <c r="D9" s="4">
        <v>441</v>
      </c>
      <c r="E9" s="4">
        <v>44</v>
      </c>
    </row>
    <row r="10" spans="1:7" ht="15.75" thickBot="1">
      <c r="A10" s="3">
        <v>45368.210520833331</v>
      </c>
      <c r="B10" s="4" t="s">
        <v>7</v>
      </c>
      <c r="C10" s="4" t="s">
        <v>6</v>
      </c>
      <c r="D10" s="4">
        <v>76</v>
      </c>
      <c r="E10" s="4">
        <v>63</v>
      </c>
    </row>
    <row r="11" spans="1:7" ht="15.75" thickBot="1">
      <c r="A11" s="3">
        <v>45377.736840277779</v>
      </c>
      <c r="B11" s="4" t="s">
        <v>5</v>
      </c>
      <c r="C11" s="4" t="s">
        <v>8</v>
      </c>
      <c r="D11" s="4">
        <v>441</v>
      </c>
      <c r="E11" s="4">
        <v>79</v>
      </c>
    </row>
    <row r="12" spans="1:7" ht="15.75" thickBot="1">
      <c r="A12" s="3">
        <v>45387.263159722221</v>
      </c>
      <c r="B12" s="4" t="s">
        <v>7</v>
      </c>
      <c r="C12" s="4" t="s">
        <v>6</v>
      </c>
      <c r="D12" s="4">
        <v>205</v>
      </c>
      <c r="E12" s="4">
        <v>23</v>
      </c>
    </row>
    <row r="13" spans="1:7" ht="15.75" thickBot="1">
      <c r="A13" s="3">
        <v>45396.789479166669</v>
      </c>
      <c r="B13" s="4" t="s">
        <v>5</v>
      </c>
      <c r="C13" s="4" t="s">
        <v>8</v>
      </c>
      <c r="D13" s="4">
        <v>483</v>
      </c>
      <c r="E13" s="4">
        <v>97</v>
      </c>
    </row>
    <row r="14" spans="1:7" ht="15.75" thickBot="1">
      <c r="A14" s="3">
        <v>45406.315787037034</v>
      </c>
      <c r="B14" s="4" t="s">
        <v>10</v>
      </c>
      <c r="C14" s="4" t="s">
        <v>6</v>
      </c>
      <c r="D14" s="4">
        <v>467</v>
      </c>
      <c r="E14" s="4">
        <v>97</v>
      </c>
    </row>
    <row r="15" spans="1:7" ht="15.75" thickBot="1">
      <c r="A15" s="3">
        <v>45415.842106481483</v>
      </c>
      <c r="B15" s="4" t="s">
        <v>5</v>
      </c>
      <c r="C15" s="4" t="s">
        <v>6</v>
      </c>
      <c r="D15" s="4">
        <v>380</v>
      </c>
      <c r="E15" s="4">
        <v>92</v>
      </c>
    </row>
    <row r="16" spans="1:7" ht="15.75" thickBot="1">
      <c r="A16" s="3">
        <v>45425.368425925924</v>
      </c>
      <c r="B16" s="4" t="s">
        <v>7</v>
      </c>
      <c r="C16" s="4" t="s">
        <v>8</v>
      </c>
      <c r="D16" s="4">
        <v>497</v>
      </c>
      <c r="E16" s="4">
        <v>71</v>
      </c>
    </row>
    <row r="17" spans="1:7" ht="15.75" thickBot="1">
      <c r="A17" s="3">
        <v>45434.894733796296</v>
      </c>
      <c r="B17" s="4" t="s">
        <v>7</v>
      </c>
      <c r="C17" s="4" t="s">
        <v>6</v>
      </c>
      <c r="D17" s="4">
        <v>409</v>
      </c>
      <c r="E17" s="4">
        <v>81</v>
      </c>
    </row>
    <row r="18" spans="1:7" ht="15.75" thickBot="1">
      <c r="A18" s="3">
        <v>45444.421053240738</v>
      </c>
      <c r="B18" s="4" t="s">
        <v>5</v>
      </c>
      <c r="C18" s="4" t="s">
        <v>8</v>
      </c>
      <c r="D18" s="4">
        <v>53</v>
      </c>
      <c r="E18" s="4">
        <v>45</v>
      </c>
    </row>
    <row r="19" spans="1:7" ht="15.75" thickBot="1">
      <c r="A19" s="3">
        <v>45453.947372685187</v>
      </c>
      <c r="B19" s="4" t="s">
        <v>5</v>
      </c>
      <c r="C19" s="4" t="s">
        <v>9</v>
      </c>
      <c r="D19" s="4">
        <v>398</v>
      </c>
      <c r="E19" s="4">
        <v>33</v>
      </c>
    </row>
    <row r="20" spans="1:7" ht="15.75" thickBot="1">
      <c r="A20" s="3">
        <v>45463.473680555559</v>
      </c>
      <c r="B20" s="4" t="s">
        <v>11</v>
      </c>
      <c r="C20" s="4" t="s">
        <v>8</v>
      </c>
      <c r="D20" s="4">
        <v>347</v>
      </c>
      <c r="E20" s="4">
        <v>35</v>
      </c>
    </row>
    <row r="21" spans="1:7" ht="15.75" thickBot="1">
      <c r="A21" s="3">
        <v>45473</v>
      </c>
      <c r="B21" s="4" t="s">
        <v>7</v>
      </c>
      <c r="C21" s="4" t="s">
        <v>9</v>
      </c>
      <c r="D21" s="4">
        <v>319</v>
      </c>
      <c r="E21" s="4">
        <v>45</v>
      </c>
    </row>
    <row r="22" spans="1:7">
      <c r="A22" s="5"/>
      <c r="B22" s="5"/>
      <c r="C22" s="5"/>
      <c r="D22" s="5"/>
      <c r="E22" s="5"/>
    </row>
    <row r="23" spans="1:7">
      <c r="A23" s="5"/>
      <c r="B23" s="5"/>
      <c r="C23" s="5"/>
      <c r="D23" s="5"/>
      <c r="E23" s="5"/>
      <c r="G23" t="s">
        <v>13</v>
      </c>
    </row>
    <row r="24" spans="1:7">
      <c r="A24" s="5"/>
      <c r="B24" s="5"/>
      <c r="C24" s="5"/>
      <c r="D24" s="5"/>
      <c r="E24" s="5"/>
    </row>
    <row r="25" spans="1:7" ht="240">
      <c r="G25" s="6" t="s">
        <v>14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A16"/>
  <sheetViews>
    <sheetView topLeftCell="A5" workbookViewId="0">
      <selection activeCell="G15" sqref="G15"/>
    </sheetView>
  </sheetViews>
  <sheetFormatPr defaultRowHeight="15"/>
  <cols>
    <col min="1" max="1" width="83.5703125" customWidth="1"/>
  </cols>
  <sheetData>
    <row r="1" spans="1:1" ht="22.5" customHeight="1">
      <c r="A1" s="7" t="s">
        <v>29</v>
      </c>
    </row>
    <row r="2" spans="1:1">
      <c r="A2" t="s">
        <v>19</v>
      </c>
    </row>
    <row r="3" spans="1:1">
      <c r="A3" t="s">
        <v>30</v>
      </c>
    </row>
    <row r="4" spans="1:1" ht="53.25" customHeight="1">
      <c r="A4" s="13" t="s">
        <v>31</v>
      </c>
    </row>
    <row r="7" spans="1:1" ht="60" customHeight="1">
      <c r="A7" s="13" t="s">
        <v>32</v>
      </c>
    </row>
    <row r="9" spans="1:1" ht="15" customHeight="1"/>
    <row r="10" spans="1:1" ht="53.25" customHeight="1">
      <c r="A10" s="7" t="s">
        <v>33</v>
      </c>
    </row>
    <row r="12" spans="1:1" ht="15" customHeight="1"/>
    <row r="13" spans="1:1" ht="48.75" customHeight="1">
      <c r="A13" s="7" t="s">
        <v>34</v>
      </c>
    </row>
    <row r="16" spans="1:1" ht="51" customHeight="1">
      <c r="A16" s="7"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
  <sheetViews>
    <sheetView workbookViewId="0">
      <selection activeCell="A3" sqref="A3"/>
    </sheetView>
  </sheetViews>
  <sheetFormatPr defaultRowHeight="15"/>
  <cols>
    <col min="1" max="1" width="58.5703125" customWidth="1"/>
    <col min="4" max="4" width="13.140625" bestFit="1" customWidth="1"/>
    <col min="5" max="5" width="12.140625" bestFit="1" customWidth="1"/>
  </cols>
  <sheetData>
    <row r="1" spans="1:5" ht="17.25" customHeight="1">
      <c r="A1" s="7" t="s">
        <v>15</v>
      </c>
    </row>
    <row r="3" spans="1:5">
      <c r="A3" t="s">
        <v>19</v>
      </c>
      <c r="D3" s="8" t="s">
        <v>16</v>
      </c>
      <c r="E3" t="s">
        <v>18</v>
      </c>
    </row>
    <row r="4" spans="1:5">
      <c r="D4" s="9" t="s">
        <v>10</v>
      </c>
      <c r="E4" s="10">
        <v>467</v>
      </c>
    </row>
    <row r="5" spans="1:5">
      <c r="D5" s="9" t="s">
        <v>11</v>
      </c>
      <c r="E5" s="10">
        <v>347</v>
      </c>
    </row>
    <row r="6" spans="1:5">
      <c r="D6" s="9" t="s">
        <v>7</v>
      </c>
      <c r="E6" s="10">
        <v>2518</v>
      </c>
    </row>
    <row r="7" spans="1:5">
      <c r="D7" s="9" t="s">
        <v>5</v>
      </c>
      <c r="E7" s="10">
        <v>3497</v>
      </c>
    </row>
    <row r="8" spans="1:5">
      <c r="D8" s="9" t="s">
        <v>17</v>
      </c>
      <c r="E8" s="10">
        <v>6829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23"/>
  <sheetViews>
    <sheetView workbookViewId="0">
      <selection activeCell="A3" sqref="A3"/>
    </sheetView>
  </sheetViews>
  <sheetFormatPr defaultRowHeight="15"/>
  <cols>
    <col min="1" max="1" width="68.85546875" customWidth="1"/>
    <col min="4" max="4" width="14.5703125" customWidth="1"/>
  </cols>
  <sheetData>
    <row r="1" spans="1:10" ht="21.75" customHeight="1">
      <c r="A1" s="7" t="s">
        <v>20</v>
      </c>
    </row>
    <row r="2" spans="1:10" ht="15.75" thickBot="1"/>
    <row r="3" spans="1:10" ht="21" customHeight="1" thickBot="1">
      <c r="A3" t="s">
        <v>19</v>
      </c>
      <c r="D3" s="1" t="s">
        <v>0</v>
      </c>
      <c r="E3" s="2" t="s">
        <v>1</v>
      </c>
      <c r="F3" s="2" t="s">
        <v>2</v>
      </c>
      <c r="G3" s="2" t="s">
        <v>3</v>
      </c>
      <c r="H3" s="2" t="s">
        <v>4</v>
      </c>
      <c r="I3" s="11" t="s">
        <v>21</v>
      </c>
      <c r="J3" s="6" t="s">
        <v>12</v>
      </c>
    </row>
    <row r="4" spans="1:10" ht="15.75" thickBot="1">
      <c r="D4" s="3">
        <v>45292</v>
      </c>
      <c r="E4" s="4" t="s">
        <v>5</v>
      </c>
      <c r="F4" s="4" t="s">
        <v>6</v>
      </c>
      <c r="G4" s="4">
        <v>456</v>
      </c>
      <c r="H4" s="4">
        <v>93</v>
      </c>
      <c r="I4" s="5">
        <f>IF(G4&gt;400,1,0)</f>
        <v>1</v>
      </c>
    </row>
    <row r="5" spans="1:10" ht="15.75" thickBot="1">
      <c r="D5" s="3">
        <v>45301.526319444441</v>
      </c>
      <c r="E5" s="4" t="s">
        <v>7</v>
      </c>
      <c r="F5" s="4" t="s">
        <v>8</v>
      </c>
      <c r="G5" s="4">
        <v>348</v>
      </c>
      <c r="H5" s="4">
        <v>56</v>
      </c>
      <c r="I5" s="5">
        <f t="shared" ref="I5:I23" si="0">IF(G5&gt;400,1,0)</f>
        <v>0</v>
      </c>
    </row>
    <row r="6" spans="1:10" ht="15.75" thickBot="1">
      <c r="D6" s="3">
        <v>45311.052627314813</v>
      </c>
      <c r="E6" s="4" t="s">
        <v>7</v>
      </c>
      <c r="F6" s="4" t="s">
        <v>6</v>
      </c>
      <c r="G6" s="4">
        <v>247</v>
      </c>
      <c r="H6" s="4">
        <v>76</v>
      </c>
      <c r="I6" s="5">
        <f t="shared" si="0"/>
        <v>0</v>
      </c>
    </row>
    <row r="7" spans="1:10" ht="15.75" thickBot="1">
      <c r="D7" s="3">
        <v>45320.578946759262</v>
      </c>
      <c r="E7" s="4" t="s">
        <v>5</v>
      </c>
      <c r="F7" s="4" t="s">
        <v>9</v>
      </c>
      <c r="G7" s="4">
        <v>230</v>
      </c>
      <c r="H7" s="4">
        <v>37</v>
      </c>
      <c r="I7" s="5">
        <f t="shared" si="0"/>
        <v>0</v>
      </c>
    </row>
    <row r="8" spans="1:10" ht="15.75" thickBot="1">
      <c r="D8" s="3">
        <v>45330.105266203704</v>
      </c>
      <c r="E8" s="4" t="s">
        <v>5</v>
      </c>
      <c r="F8" s="4" t="s">
        <v>6</v>
      </c>
      <c r="G8" s="4">
        <v>281</v>
      </c>
      <c r="H8" s="4">
        <v>50</v>
      </c>
      <c r="I8" s="5">
        <f t="shared" si="0"/>
        <v>0</v>
      </c>
    </row>
    <row r="9" spans="1:10" ht="15.75" thickBot="1">
      <c r="D9" s="3">
        <v>45339.631574074076</v>
      </c>
      <c r="E9" s="4" t="s">
        <v>5</v>
      </c>
      <c r="F9" s="4" t="s">
        <v>8</v>
      </c>
      <c r="G9" s="4">
        <v>334</v>
      </c>
      <c r="H9" s="4">
        <v>52</v>
      </c>
      <c r="I9" s="5">
        <f t="shared" si="0"/>
        <v>0</v>
      </c>
    </row>
    <row r="10" spans="1:10" ht="15.75" thickBot="1">
      <c r="D10" s="3">
        <v>45349.157893518517</v>
      </c>
      <c r="E10" s="4" t="s">
        <v>7</v>
      </c>
      <c r="F10" s="4" t="s">
        <v>9</v>
      </c>
      <c r="G10" s="4">
        <v>417</v>
      </c>
      <c r="H10" s="4">
        <v>29</v>
      </c>
      <c r="I10" s="5">
        <f t="shared" si="0"/>
        <v>1</v>
      </c>
    </row>
    <row r="11" spans="1:10" ht="15.75" thickBot="1">
      <c r="D11" s="3">
        <v>45358.684212962966</v>
      </c>
      <c r="E11" s="4" t="s">
        <v>5</v>
      </c>
      <c r="F11" s="4" t="s">
        <v>9</v>
      </c>
      <c r="G11" s="4">
        <v>441</v>
      </c>
      <c r="H11" s="4">
        <v>44</v>
      </c>
      <c r="I11" s="5">
        <f t="shared" si="0"/>
        <v>1</v>
      </c>
    </row>
    <row r="12" spans="1:10" ht="15.75" thickBot="1">
      <c r="D12" s="3">
        <v>45368.210520833331</v>
      </c>
      <c r="E12" s="4" t="s">
        <v>7</v>
      </c>
      <c r="F12" s="4" t="s">
        <v>6</v>
      </c>
      <c r="G12" s="4">
        <v>76</v>
      </c>
      <c r="H12" s="4">
        <v>63</v>
      </c>
      <c r="I12" s="5">
        <f t="shared" si="0"/>
        <v>0</v>
      </c>
    </row>
    <row r="13" spans="1:10" ht="15.75" thickBot="1">
      <c r="D13" s="3">
        <v>45377.736840277779</v>
      </c>
      <c r="E13" s="4" t="s">
        <v>5</v>
      </c>
      <c r="F13" s="4" t="s">
        <v>8</v>
      </c>
      <c r="G13" s="4">
        <v>441</v>
      </c>
      <c r="H13" s="4">
        <v>79</v>
      </c>
      <c r="I13" s="5">
        <f t="shared" si="0"/>
        <v>1</v>
      </c>
    </row>
    <row r="14" spans="1:10" ht="15.75" thickBot="1">
      <c r="D14" s="3">
        <v>45387.263159722221</v>
      </c>
      <c r="E14" s="4" t="s">
        <v>7</v>
      </c>
      <c r="F14" s="4" t="s">
        <v>6</v>
      </c>
      <c r="G14" s="4">
        <v>205</v>
      </c>
      <c r="H14" s="4">
        <v>23</v>
      </c>
      <c r="I14" s="5">
        <f t="shared" si="0"/>
        <v>0</v>
      </c>
    </row>
    <row r="15" spans="1:10" ht="15.75" thickBot="1">
      <c r="D15" s="3">
        <v>45396.789479166669</v>
      </c>
      <c r="E15" s="4" t="s">
        <v>5</v>
      </c>
      <c r="F15" s="4" t="s">
        <v>8</v>
      </c>
      <c r="G15" s="4">
        <v>483</v>
      </c>
      <c r="H15" s="4">
        <v>97</v>
      </c>
      <c r="I15" s="5">
        <f t="shared" si="0"/>
        <v>1</v>
      </c>
    </row>
    <row r="16" spans="1:10" ht="15.75" thickBot="1">
      <c r="D16" s="3">
        <v>45406.315787037034</v>
      </c>
      <c r="E16" s="4" t="s">
        <v>10</v>
      </c>
      <c r="F16" s="4" t="s">
        <v>6</v>
      </c>
      <c r="G16" s="4">
        <v>467</v>
      </c>
      <c r="H16" s="4">
        <v>97</v>
      </c>
      <c r="I16" s="5">
        <f t="shared" si="0"/>
        <v>1</v>
      </c>
    </row>
    <row r="17" spans="4:9" ht="15.75" thickBot="1">
      <c r="D17" s="3">
        <v>45415.842106481483</v>
      </c>
      <c r="E17" s="4" t="s">
        <v>5</v>
      </c>
      <c r="F17" s="4" t="s">
        <v>6</v>
      </c>
      <c r="G17" s="4">
        <v>380</v>
      </c>
      <c r="H17" s="4">
        <v>92</v>
      </c>
      <c r="I17" s="5">
        <f t="shared" si="0"/>
        <v>0</v>
      </c>
    </row>
    <row r="18" spans="4:9" ht="15.75" thickBot="1">
      <c r="D18" s="3">
        <v>45425.368425925924</v>
      </c>
      <c r="E18" s="4" t="s">
        <v>7</v>
      </c>
      <c r="F18" s="4" t="s">
        <v>8</v>
      </c>
      <c r="G18" s="4">
        <v>497</v>
      </c>
      <c r="H18" s="4">
        <v>71</v>
      </c>
      <c r="I18" s="5">
        <f t="shared" si="0"/>
        <v>1</v>
      </c>
    </row>
    <row r="19" spans="4:9" ht="15.75" thickBot="1">
      <c r="D19" s="3">
        <v>45434.894733796296</v>
      </c>
      <c r="E19" s="4" t="s">
        <v>7</v>
      </c>
      <c r="F19" s="4" t="s">
        <v>6</v>
      </c>
      <c r="G19" s="4">
        <v>409</v>
      </c>
      <c r="H19" s="4">
        <v>81</v>
      </c>
      <c r="I19" s="5">
        <f t="shared" si="0"/>
        <v>1</v>
      </c>
    </row>
    <row r="20" spans="4:9" ht="15.75" thickBot="1">
      <c r="D20" s="3">
        <v>45444.421053240738</v>
      </c>
      <c r="E20" s="4" t="s">
        <v>5</v>
      </c>
      <c r="F20" s="4" t="s">
        <v>8</v>
      </c>
      <c r="G20" s="4">
        <v>53</v>
      </c>
      <c r="H20" s="4">
        <v>45</v>
      </c>
      <c r="I20" s="5">
        <f t="shared" si="0"/>
        <v>0</v>
      </c>
    </row>
    <row r="21" spans="4:9" ht="15.75" thickBot="1">
      <c r="D21" s="3">
        <v>45453.947372685187</v>
      </c>
      <c r="E21" s="4" t="s">
        <v>5</v>
      </c>
      <c r="F21" s="4" t="s">
        <v>9</v>
      </c>
      <c r="G21" s="4">
        <v>398</v>
      </c>
      <c r="H21" s="4">
        <v>33</v>
      </c>
      <c r="I21" s="5">
        <f t="shared" si="0"/>
        <v>0</v>
      </c>
    </row>
    <row r="22" spans="4:9" ht="15.75" thickBot="1">
      <c r="D22" s="3">
        <v>45463.473680555559</v>
      </c>
      <c r="E22" s="4" t="s">
        <v>11</v>
      </c>
      <c r="F22" s="4" t="s">
        <v>8</v>
      </c>
      <c r="G22" s="4">
        <v>347</v>
      </c>
      <c r="H22" s="4">
        <v>35</v>
      </c>
      <c r="I22" s="5">
        <f t="shared" si="0"/>
        <v>0</v>
      </c>
    </row>
    <row r="23" spans="4:9" ht="15.75" thickBot="1">
      <c r="D23" s="3">
        <v>45473</v>
      </c>
      <c r="E23" s="4" t="s">
        <v>7</v>
      </c>
      <c r="F23" s="4" t="s">
        <v>9</v>
      </c>
      <c r="G23" s="4">
        <v>319</v>
      </c>
      <c r="H23" s="4">
        <v>45</v>
      </c>
      <c r="I23" s="5">
        <f t="shared" si="0"/>
        <v>0</v>
      </c>
    </row>
  </sheetData>
  <conditionalFormatting sqref="G4:G23">
    <cfRule type="expression" dxfId="36" priority="1">
      <formula>IF(G4&gt;400,1,0)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filterMode="1"/>
  <dimension ref="A1:V52"/>
  <sheetViews>
    <sheetView topLeftCell="A17" workbookViewId="0">
      <selection activeCell="M40" sqref="M40"/>
    </sheetView>
  </sheetViews>
  <sheetFormatPr defaultRowHeight="15"/>
  <cols>
    <col min="1" max="1" width="68.140625" customWidth="1"/>
    <col min="4" max="4" width="14" customWidth="1"/>
    <col min="11" max="11" width="13.28515625" customWidth="1"/>
    <col min="18" max="18" width="14" customWidth="1"/>
  </cols>
  <sheetData>
    <row r="1" spans="1:22" ht="39.75" customHeight="1">
      <c r="A1" s="7" t="s">
        <v>36</v>
      </c>
    </row>
    <row r="3" spans="1:22">
      <c r="A3" t="s">
        <v>19</v>
      </c>
    </row>
    <row r="4" spans="1:22" ht="52.5" customHeight="1">
      <c r="A4" s="7" t="s">
        <v>40</v>
      </c>
    </row>
    <row r="5" spans="1:22" ht="15.75" thickBot="1">
      <c r="D5" t="s">
        <v>37</v>
      </c>
      <c r="K5" t="s">
        <v>38</v>
      </c>
      <c r="R5" t="s">
        <v>39</v>
      </c>
    </row>
    <row r="6" spans="1:22" ht="15.75" thickBot="1">
      <c r="D6" s="1" t="s">
        <v>0</v>
      </c>
      <c r="E6" s="2" t="s">
        <v>1</v>
      </c>
      <c r="F6" s="2" t="s">
        <v>2</v>
      </c>
      <c r="G6" s="2" t="s">
        <v>3</v>
      </c>
      <c r="H6" s="2" t="s">
        <v>4</v>
      </c>
      <c r="K6" s="1" t="s">
        <v>0</v>
      </c>
      <c r="L6" s="2" t="s">
        <v>1</v>
      </c>
      <c r="M6" s="2" t="s">
        <v>2</v>
      </c>
      <c r="N6" s="2" t="s">
        <v>3</v>
      </c>
      <c r="O6" s="2" t="s">
        <v>4</v>
      </c>
      <c r="R6" s="1" t="s">
        <v>0</v>
      </c>
      <c r="S6" s="2" t="s">
        <v>1</v>
      </c>
      <c r="T6" s="2" t="s">
        <v>2</v>
      </c>
      <c r="U6" s="2" t="s">
        <v>3</v>
      </c>
      <c r="V6" s="2" t="s">
        <v>4</v>
      </c>
    </row>
    <row r="7" spans="1:22" ht="15.75" thickBot="1">
      <c r="D7" s="3">
        <v>45292</v>
      </c>
      <c r="E7" s="4" t="s">
        <v>5</v>
      </c>
      <c r="F7" s="4" t="s">
        <v>6</v>
      </c>
      <c r="G7" s="4">
        <v>456</v>
      </c>
      <c r="H7" s="4">
        <v>93</v>
      </c>
      <c r="K7" s="3">
        <v>45406.315787037034</v>
      </c>
      <c r="L7" s="4" t="s">
        <v>10</v>
      </c>
      <c r="M7" s="4" t="s">
        <v>6</v>
      </c>
      <c r="N7" s="4">
        <v>467</v>
      </c>
      <c r="O7" s="4">
        <v>97</v>
      </c>
      <c r="R7" s="3">
        <v>45320.578946759262</v>
      </c>
      <c r="S7" s="4" t="s">
        <v>5</v>
      </c>
      <c r="T7" s="4" t="s">
        <v>9</v>
      </c>
      <c r="U7" s="4">
        <v>230</v>
      </c>
      <c r="V7" s="4">
        <v>37</v>
      </c>
    </row>
    <row r="8" spans="1:22" ht="15.75" thickBot="1">
      <c r="D8" s="3">
        <v>45301.526319444441</v>
      </c>
      <c r="E8" s="4" t="s">
        <v>7</v>
      </c>
      <c r="F8" s="4" t="s">
        <v>8</v>
      </c>
      <c r="G8" s="4">
        <v>348</v>
      </c>
      <c r="H8" s="4">
        <v>56</v>
      </c>
      <c r="K8" s="3">
        <v>45463.473680555559</v>
      </c>
      <c r="L8" s="4" t="s">
        <v>11</v>
      </c>
      <c r="M8" s="4" t="s">
        <v>8</v>
      </c>
      <c r="N8" s="4">
        <v>347</v>
      </c>
      <c r="O8" s="4">
        <v>35</v>
      </c>
      <c r="R8" s="3">
        <v>45349.157893518517</v>
      </c>
      <c r="S8" s="4" t="s">
        <v>7</v>
      </c>
      <c r="T8" s="4" t="s">
        <v>9</v>
      </c>
      <c r="U8" s="4">
        <v>417</v>
      </c>
      <c r="V8" s="4">
        <v>29</v>
      </c>
    </row>
    <row r="9" spans="1:22" ht="15.75" thickBot="1">
      <c r="D9" s="3">
        <v>45311.052627314813</v>
      </c>
      <c r="E9" s="4" t="s">
        <v>7</v>
      </c>
      <c r="F9" s="4" t="s">
        <v>6</v>
      </c>
      <c r="G9" s="4">
        <v>247</v>
      </c>
      <c r="H9" s="4">
        <v>76</v>
      </c>
      <c r="K9" s="3">
        <v>45301.526319444441</v>
      </c>
      <c r="L9" s="4" t="s">
        <v>7</v>
      </c>
      <c r="M9" s="4" t="s">
        <v>8</v>
      </c>
      <c r="N9" s="4">
        <v>348</v>
      </c>
      <c r="O9" s="4">
        <v>56</v>
      </c>
      <c r="R9" s="3">
        <v>45358.684212962966</v>
      </c>
      <c r="S9" s="4" t="s">
        <v>5</v>
      </c>
      <c r="T9" s="4" t="s">
        <v>9</v>
      </c>
      <c r="U9" s="4">
        <v>441</v>
      </c>
      <c r="V9" s="4">
        <v>44</v>
      </c>
    </row>
    <row r="10" spans="1:22" ht="15.75" thickBot="1">
      <c r="D10" s="3">
        <v>45320.578946759262</v>
      </c>
      <c r="E10" s="4" t="s">
        <v>5</v>
      </c>
      <c r="F10" s="4" t="s">
        <v>9</v>
      </c>
      <c r="G10" s="4">
        <v>230</v>
      </c>
      <c r="H10" s="4">
        <v>37</v>
      </c>
      <c r="K10" s="3">
        <v>45311.052627314813</v>
      </c>
      <c r="L10" s="4" t="s">
        <v>7</v>
      </c>
      <c r="M10" s="4" t="s">
        <v>6</v>
      </c>
      <c r="N10" s="4">
        <v>247</v>
      </c>
      <c r="O10" s="4">
        <v>76</v>
      </c>
      <c r="R10" s="3">
        <v>45453.947372685187</v>
      </c>
      <c r="S10" s="4" t="s">
        <v>5</v>
      </c>
      <c r="T10" s="4" t="s">
        <v>9</v>
      </c>
      <c r="U10" s="4">
        <v>398</v>
      </c>
      <c r="V10" s="4">
        <v>33</v>
      </c>
    </row>
    <row r="11" spans="1:22" ht="15.75" thickBot="1">
      <c r="D11" s="3">
        <v>45330.105266203704</v>
      </c>
      <c r="E11" s="4" t="s">
        <v>5</v>
      </c>
      <c r="F11" s="4" t="s">
        <v>6</v>
      </c>
      <c r="G11" s="4">
        <v>281</v>
      </c>
      <c r="H11" s="4">
        <v>50</v>
      </c>
      <c r="K11" s="3">
        <v>45349.157893518517</v>
      </c>
      <c r="L11" s="4" t="s">
        <v>7</v>
      </c>
      <c r="M11" s="4" t="s">
        <v>9</v>
      </c>
      <c r="N11" s="4">
        <v>417</v>
      </c>
      <c r="O11" s="4">
        <v>29</v>
      </c>
      <c r="R11" s="3">
        <v>45473</v>
      </c>
      <c r="S11" s="4" t="s">
        <v>7</v>
      </c>
      <c r="T11" s="4" t="s">
        <v>9</v>
      </c>
      <c r="U11" s="4">
        <v>319</v>
      </c>
      <c r="V11" s="4">
        <v>45</v>
      </c>
    </row>
    <row r="12" spans="1:22" ht="15.75" thickBot="1">
      <c r="D12" s="3">
        <v>45339.631574074076</v>
      </c>
      <c r="E12" s="4" t="s">
        <v>5</v>
      </c>
      <c r="F12" s="4" t="s">
        <v>8</v>
      </c>
      <c r="G12" s="4">
        <v>334</v>
      </c>
      <c r="H12" s="4">
        <v>52</v>
      </c>
      <c r="K12" s="3">
        <v>45368.210520833331</v>
      </c>
      <c r="L12" s="4" t="s">
        <v>7</v>
      </c>
      <c r="M12" s="4" t="s">
        <v>6</v>
      </c>
      <c r="N12" s="4">
        <v>76</v>
      </c>
      <c r="O12" s="4">
        <v>63</v>
      </c>
      <c r="R12" s="3">
        <v>45292</v>
      </c>
      <c r="S12" s="4" t="s">
        <v>5</v>
      </c>
      <c r="T12" s="4" t="s">
        <v>6</v>
      </c>
      <c r="U12" s="4">
        <v>456</v>
      </c>
      <c r="V12" s="4">
        <v>93</v>
      </c>
    </row>
    <row r="13" spans="1:22" ht="15.75" thickBot="1">
      <c r="D13" s="3">
        <v>45349.157893518517</v>
      </c>
      <c r="E13" s="4" t="s">
        <v>7</v>
      </c>
      <c r="F13" s="4" t="s">
        <v>9</v>
      </c>
      <c r="G13" s="4">
        <v>417</v>
      </c>
      <c r="H13" s="4">
        <v>29</v>
      </c>
      <c r="K13" s="3">
        <v>45387.263159722221</v>
      </c>
      <c r="L13" s="4" t="s">
        <v>7</v>
      </c>
      <c r="M13" s="4" t="s">
        <v>6</v>
      </c>
      <c r="N13" s="4">
        <v>205</v>
      </c>
      <c r="O13" s="4">
        <v>23</v>
      </c>
      <c r="R13" s="3">
        <v>45311.052627314813</v>
      </c>
      <c r="S13" s="4" t="s">
        <v>7</v>
      </c>
      <c r="T13" s="4" t="s">
        <v>6</v>
      </c>
      <c r="U13" s="4">
        <v>247</v>
      </c>
      <c r="V13" s="4">
        <v>76</v>
      </c>
    </row>
    <row r="14" spans="1:22" ht="15.75" thickBot="1">
      <c r="D14" s="3">
        <v>45358.684212962966</v>
      </c>
      <c r="E14" s="4" t="s">
        <v>5</v>
      </c>
      <c r="F14" s="4" t="s">
        <v>9</v>
      </c>
      <c r="G14" s="4">
        <v>441</v>
      </c>
      <c r="H14" s="4">
        <v>44</v>
      </c>
      <c r="K14" s="3">
        <v>45425.368425925924</v>
      </c>
      <c r="L14" s="4" t="s">
        <v>7</v>
      </c>
      <c r="M14" s="4" t="s">
        <v>8</v>
      </c>
      <c r="N14" s="4">
        <v>497</v>
      </c>
      <c r="O14" s="4">
        <v>71</v>
      </c>
      <c r="R14" s="3">
        <v>45330.105266203704</v>
      </c>
      <c r="S14" s="4" t="s">
        <v>5</v>
      </c>
      <c r="T14" s="4" t="s">
        <v>6</v>
      </c>
      <c r="U14" s="4">
        <v>281</v>
      </c>
      <c r="V14" s="4">
        <v>50</v>
      </c>
    </row>
    <row r="15" spans="1:22" ht="15.75" thickBot="1">
      <c r="D15" s="3">
        <v>45368.210520833331</v>
      </c>
      <c r="E15" s="4" t="s">
        <v>7</v>
      </c>
      <c r="F15" s="4" t="s">
        <v>6</v>
      </c>
      <c r="G15" s="4">
        <v>76</v>
      </c>
      <c r="H15" s="4">
        <v>63</v>
      </c>
      <c r="K15" s="3">
        <v>45434.894733796296</v>
      </c>
      <c r="L15" s="4" t="s">
        <v>7</v>
      </c>
      <c r="M15" s="4" t="s">
        <v>6</v>
      </c>
      <c r="N15" s="4">
        <v>409</v>
      </c>
      <c r="O15" s="4">
        <v>81</v>
      </c>
      <c r="R15" s="3">
        <v>45368.210520833331</v>
      </c>
      <c r="S15" s="4" t="s">
        <v>7</v>
      </c>
      <c r="T15" s="4" t="s">
        <v>6</v>
      </c>
      <c r="U15" s="4">
        <v>76</v>
      </c>
      <c r="V15" s="4">
        <v>63</v>
      </c>
    </row>
    <row r="16" spans="1:22" ht="15.75" thickBot="1">
      <c r="D16" s="3">
        <v>45377.736840277779</v>
      </c>
      <c r="E16" s="4" t="s">
        <v>5</v>
      </c>
      <c r="F16" s="4" t="s">
        <v>8</v>
      </c>
      <c r="G16" s="4">
        <v>441</v>
      </c>
      <c r="H16" s="4">
        <v>79</v>
      </c>
      <c r="K16" s="3">
        <v>45473</v>
      </c>
      <c r="L16" s="4" t="s">
        <v>7</v>
      </c>
      <c r="M16" s="4" t="s">
        <v>9</v>
      </c>
      <c r="N16" s="4">
        <v>319</v>
      </c>
      <c r="O16" s="4">
        <v>45</v>
      </c>
      <c r="R16" s="3">
        <v>45387.263159722221</v>
      </c>
      <c r="S16" s="4" t="s">
        <v>7</v>
      </c>
      <c r="T16" s="4" t="s">
        <v>6</v>
      </c>
      <c r="U16" s="4">
        <v>205</v>
      </c>
      <c r="V16" s="4">
        <v>23</v>
      </c>
    </row>
    <row r="17" spans="1:22" ht="15.75" thickBot="1">
      <c r="D17" s="3">
        <v>45387.263159722221</v>
      </c>
      <c r="E17" s="4" t="s">
        <v>7</v>
      </c>
      <c r="F17" s="4" t="s">
        <v>6</v>
      </c>
      <c r="G17" s="4">
        <v>205</v>
      </c>
      <c r="H17" s="4">
        <v>23</v>
      </c>
      <c r="K17" s="3">
        <v>45292</v>
      </c>
      <c r="L17" s="4" t="s">
        <v>5</v>
      </c>
      <c r="M17" s="4" t="s">
        <v>6</v>
      </c>
      <c r="N17" s="4">
        <v>456</v>
      </c>
      <c r="O17" s="4">
        <v>93</v>
      </c>
      <c r="R17" s="3">
        <v>45406.315787037034</v>
      </c>
      <c r="S17" s="4" t="s">
        <v>10</v>
      </c>
      <c r="T17" s="4" t="s">
        <v>6</v>
      </c>
      <c r="U17" s="4">
        <v>467</v>
      </c>
      <c r="V17" s="4">
        <v>97</v>
      </c>
    </row>
    <row r="18" spans="1:22" ht="15.75" thickBot="1">
      <c r="D18" s="3">
        <v>45396.789479166669</v>
      </c>
      <c r="E18" s="4" t="s">
        <v>5</v>
      </c>
      <c r="F18" s="4" t="s">
        <v>8</v>
      </c>
      <c r="G18" s="4">
        <v>483</v>
      </c>
      <c r="H18" s="4">
        <v>97</v>
      </c>
      <c r="K18" s="3">
        <v>45320.578946759262</v>
      </c>
      <c r="L18" s="4" t="s">
        <v>5</v>
      </c>
      <c r="M18" s="4" t="s">
        <v>9</v>
      </c>
      <c r="N18" s="4">
        <v>230</v>
      </c>
      <c r="O18" s="4">
        <v>37</v>
      </c>
      <c r="R18" s="3">
        <v>45415.842106481483</v>
      </c>
      <c r="S18" s="4" t="s">
        <v>5</v>
      </c>
      <c r="T18" s="4" t="s">
        <v>6</v>
      </c>
      <c r="U18" s="4">
        <v>380</v>
      </c>
      <c r="V18" s="4">
        <v>92</v>
      </c>
    </row>
    <row r="19" spans="1:22" ht="15.75" thickBot="1">
      <c r="D19" s="3">
        <v>45406.315787037034</v>
      </c>
      <c r="E19" s="4" t="s">
        <v>10</v>
      </c>
      <c r="F19" s="4" t="s">
        <v>6</v>
      </c>
      <c r="G19" s="4">
        <v>467</v>
      </c>
      <c r="H19" s="4">
        <v>97</v>
      </c>
      <c r="K19" s="3">
        <v>45330.105266203704</v>
      </c>
      <c r="L19" s="4" t="s">
        <v>5</v>
      </c>
      <c r="M19" s="4" t="s">
        <v>6</v>
      </c>
      <c r="N19" s="4">
        <v>281</v>
      </c>
      <c r="O19" s="4">
        <v>50</v>
      </c>
      <c r="R19" s="3">
        <v>45434.894733796296</v>
      </c>
      <c r="S19" s="4" t="s">
        <v>7</v>
      </c>
      <c r="T19" s="4" t="s">
        <v>6</v>
      </c>
      <c r="U19" s="4">
        <v>409</v>
      </c>
      <c r="V19" s="4">
        <v>81</v>
      </c>
    </row>
    <row r="20" spans="1:22" ht="15.75" thickBot="1">
      <c r="D20" s="3">
        <v>45415.842106481483</v>
      </c>
      <c r="E20" s="4" t="s">
        <v>5</v>
      </c>
      <c r="F20" s="4" t="s">
        <v>6</v>
      </c>
      <c r="G20" s="4">
        <v>380</v>
      </c>
      <c r="H20" s="4">
        <v>92</v>
      </c>
      <c r="K20" s="3">
        <v>45339.631574074076</v>
      </c>
      <c r="L20" s="4" t="s">
        <v>5</v>
      </c>
      <c r="M20" s="4" t="s">
        <v>8</v>
      </c>
      <c r="N20" s="4">
        <v>334</v>
      </c>
      <c r="O20" s="4">
        <v>52</v>
      </c>
      <c r="R20" s="3">
        <v>45301.526319444441</v>
      </c>
      <c r="S20" s="4" t="s">
        <v>7</v>
      </c>
      <c r="T20" s="4" t="s">
        <v>8</v>
      </c>
      <c r="U20" s="4">
        <v>348</v>
      </c>
      <c r="V20" s="4">
        <v>56</v>
      </c>
    </row>
    <row r="21" spans="1:22" ht="15.75" thickBot="1">
      <c r="D21" s="3">
        <v>45425.368425925924</v>
      </c>
      <c r="E21" s="4" t="s">
        <v>7</v>
      </c>
      <c r="F21" s="4" t="s">
        <v>8</v>
      </c>
      <c r="G21" s="4">
        <v>497</v>
      </c>
      <c r="H21" s="4">
        <v>71</v>
      </c>
      <c r="K21" s="3">
        <v>45358.684212962966</v>
      </c>
      <c r="L21" s="4" t="s">
        <v>5</v>
      </c>
      <c r="M21" s="4" t="s">
        <v>9</v>
      </c>
      <c r="N21" s="4">
        <v>441</v>
      </c>
      <c r="O21" s="4">
        <v>44</v>
      </c>
      <c r="R21" s="3">
        <v>45339.631574074076</v>
      </c>
      <c r="S21" s="4" t="s">
        <v>5</v>
      </c>
      <c r="T21" s="4" t="s">
        <v>8</v>
      </c>
      <c r="U21" s="4">
        <v>334</v>
      </c>
      <c r="V21" s="4">
        <v>52</v>
      </c>
    </row>
    <row r="22" spans="1:22" ht="15.75" thickBot="1">
      <c r="D22" s="3">
        <v>45434.894733796296</v>
      </c>
      <c r="E22" s="4" t="s">
        <v>7</v>
      </c>
      <c r="F22" s="4" t="s">
        <v>6</v>
      </c>
      <c r="G22" s="4">
        <v>409</v>
      </c>
      <c r="H22" s="4">
        <v>81</v>
      </c>
      <c r="K22" s="3">
        <v>45377.736840277779</v>
      </c>
      <c r="L22" s="4" t="s">
        <v>5</v>
      </c>
      <c r="M22" s="4" t="s">
        <v>8</v>
      </c>
      <c r="N22" s="4">
        <v>441</v>
      </c>
      <c r="O22" s="4">
        <v>79</v>
      </c>
      <c r="R22" s="3">
        <v>45377.736840277779</v>
      </c>
      <c r="S22" s="4" t="s">
        <v>5</v>
      </c>
      <c r="T22" s="4" t="s">
        <v>8</v>
      </c>
      <c r="U22" s="4">
        <v>441</v>
      </c>
      <c r="V22" s="4">
        <v>79</v>
      </c>
    </row>
    <row r="23" spans="1:22" ht="15.75" thickBot="1">
      <c r="D23" s="3">
        <v>45444.421053240738</v>
      </c>
      <c r="E23" s="4" t="s">
        <v>5</v>
      </c>
      <c r="F23" s="4" t="s">
        <v>8</v>
      </c>
      <c r="G23" s="4">
        <v>53</v>
      </c>
      <c r="H23" s="4">
        <v>45</v>
      </c>
      <c r="K23" s="3">
        <v>45396.789479166669</v>
      </c>
      <c r="L23" s="4" t="s">
        <v>5</v>
      </c>
      <c r="M23" s="4" t="s">
        <v>8</v>
      </c>
      <c r="N23" s="4">
        <v>483</v>
      </c>
      <c r="O23" s="4">
        <v>97</v>
      </c>
      <c r="R23" s="3">
        <v>45396.789479166669</v>
      </c>
      <c r="S23" s="4" t="s">
        <v>5</v>
      </c>
      <c r="T23" s="4" t="s">
        <v>8</v>
      </c>
      <c r="U23" s="4">
        <v>483</v>
      </c>
      <c r="V23" s="4">
        <v>97</v>
      </c>
    </row>
    <row r="24" spans="1:22" ht="15.75" thickBot="1">
      <c r="D24" s="3">
        <v>45453.947372685187</v>
      </c>
      <c r="E24" s="4" t="s">
        <v>5</v>
      </c>
      <c r="F24" s="4" t="s">
        <v>9</v>
      </c>
      <c r="G24" s="4">
        <v>398</v>
      </c>
      <c r="H24" s="4">
        <v>33</v>
      </c>
      <c r="K24" s="3">
        <v>45415.842106481483</v>
      </c>
      <c r="L24" s="4" t="s">
        <v>5</v>
      </c>
      <c r="M24" s="4" t="s">
        <v>6</v>
      </c>
      <c r="N24" s="4">
        <v>380</v>
      </c>
      <c r="O24" s="4">
        <v>92</v>
      </c>
      <c r="R24" s="3">
        <v>45425.368425925924</v>
      </c>
      <c r="S24" s="4" t="s">
        <v>7</v>
      </c>
      <c r="T24" s="4" t="s">
        <v>8</v>
      </c>
      <c r="U24" s="4">
        <v>497</v>
      </c>
      <c r="V24" s="4">
        <v>71</v>
      </c>
    </row>
    <row r="25" spans="1:22" ht="15.75" thickBot="1">
      <c r="D25" s="3">
        <v>45463.473680555559</v>
      </c>
      <c r="E25" s="4" t="s">
        <v>11</v>
      </c>
      <c r="F25" s="4" t="s">
        <v>8</v>
      </c>
      <c r="G25" s="4">
        <v>347</v>
      </c>
      <c r="H25" s="4">
        <v>35</v>
      </c>
      <c r="K25" s="3">
        <v>45444.421053240738</v>
      </c>
      <c r="L25" s="4" t="s">
        <v>5</v>
      </c>
      <c r="M25" s="4" t="s">
        <v>8</v>
      </c>
      <c r="N25" s="4">
        <v>53</v>
      </c>
      <c r="O25" s="4">
        <v>45</v>
      </c>
      <c r="R25" s="3">
        <v>45444.421053240738</v>
      </c>
      <c r="S25" s="4" t="s">
        <v>5</v>
      </c>
      <c r="T25" s="4" t="s">
        <v>8</v>
      </c>
      <c r="U25" s="4">
        <v>53</v>
      </c>
      <c r="V25" s="4">
        <v>45</v>
      </c>
    </row>
    <row r="26" spans="1:22" ht="15.75" thickBot="1">
      <c r="D26" s="3">
        <v>45473</v>
      </c>
      <c r="E26" s="4" t="s">
        <v>7</v>
      </c>
      <c r="F26" s="4" t="s">
        <v>9</v>
      </c>
      <c r="G26" s="4">
        <v>319</v>
      </c>
      <c r="H26" s="4">
        <v>45</v>
      </c>
      <c r="K26" s="3">
        <v>45453.947372685187</v>
      </c>
      <c r="L26" s="4" t="s">
        <v>5</v>
      </c>
      <c r="M26" s="4" t="s">
        <v>9</v>
      </c>
      <c r="N26" s="4">
        <v>398</v>
      </c>
      <c r="O26" s="4">
        <v>33</v>
      </c>
      <c r="R26" s="3">
        <v>45463.473680555559</v>
      </c>
      <c r="S26" s="4" t="s">
        <v>11</v>
      </c>
      <c r="T26" s="4" t="s">
        <v>8</v>
      </c>
      <c r="U26" s="4">
        <v>347</v>
      </c>
      <c r="V26" s="4">
        <v>35</v>
      </c>
    </row>
    <row r="30" spans="1:22" ht="60.75" customHeight="1">
      <c r="A30" s="7" t="s">
        <v>42</v>
      </c>
    </row>
    <row r="31" spans="1:22" ht="15.75" thickBot="1">
      <c r="D31" t="s">
        <v>41</v>
      </c>
    </row>
    <row r="32" spans="1:22" ht="15.75" thickBot="1">
      <c r="D32" s="1" t="s">
        <v>0</v>
      </c>
      <c r="E32" s="2" t="s">
        <v>1</v>
      </c>
      <c r="F32" s="2" t="s">
        <v>2</v>
      </c>
      <c r="G32" s="2" t="s">
        <v>3</v>
      </c>
      <c r="H32" s="2" t="s">
        <v>4</v>
      </c>
    </row>
    <row r="33" spans="4:8" ht="15.75" hidden="1" thickBot="1">
      <c r="D33" s="3">
        <v>45292</v>
      </c>
      <c r="E33" s="4" t="s">
        <v>5</v>
      </c>
      <c r="F33" s="4" t="s">
        <v>6</v>
      </c>
      <c r="G33" s="4">
        <v>456</v>
      </c>
      <c r="H33" s="4">
        <v>93</v>
      </c>
    </row>
    <row r="34" spans="4:8" ht="15.75" hidden="1" thickBot="1">
      <c r="D34" s="3">
        <v>45301.526319444441</v>
      </c>
      <c r="E34" s="4" t="s">
        <v>7</v>
      </c>
      <c r="F34" s="4" t="s">
        <v>8</v>
      </c>
      <c r="G34" s="4">
        <v>348</v>
      </c>
      <c r="H34" s="4">
        <v>56</v>
      </c>
    </row>
    <row r="35" spans="4:8" ht="15.75" hidden="1" thickBot="1">
      <c r="D35" s="3">
        <v>45311.052627314813</v>
      </c>
      <c r="E35" s="4" t="s">
        <v>7</v>
      </c>
      <c r="F35" s="4" t="s">
        <v>6</v>
      </c>
      <c r="G35" s="4">
        <v>247</v>
      </c>
      <c r="H35" s="4">
        <v>76</v>
      </c>
    </row>
    <row r="36" spans="4:8" ht="15.75" thickBot="1">
      <c r="D36" s="3">
        <v>45320.578946759262</v>
      </c>
      <c r="E36" s="4" t="s">
        <v>5</v>
      </c>
      <c r="F36" s="4" t="s">
        <v>9</v>
      </c>
      <c r="G36" s="4">
        <v>230</v>
      </c>
      <c r="H36" s="4">
        <v>37</v>
      </c>
    </row>
    <row r="37" spans="4:8" ht="15.75" hidden="1" thickBot="1">
      <c r="D37" s="3">
        <v>45330.105266203704</v>
      </c>
      <c r="E37" s="4" t="s">
        <v>5</v>
      </c>
      <c r="F37" s="4" t="s">
        <v>6</v>
      </c>
      <c r="G37" s="4">
        <v>281</v>
      </c>
      <c r="H37" s="4">
        <v>50</v>
      </c>
    </row>
    <row r="38" spans="4:8" ht="15.75" hidden="1" thickBot="1">
      <c r="D38" s="3">
        <v>45339.631574074076</v>
      </c>
      <c r="E38" s="4" t="s">
        <v>5</v>
      </c>
      <c r="F38" s="4" t="s">
        <v>8</v>
      </c>
      <c r="G38" s="4">
        <v>334</v>
      </c>
      <c r="H38" s="4">
        <v>52</v>
      </c>
    </row>
    <row r="39" spans="4:8" ht="15.75" thickBot="1">
      <c r="D39" s="3">
        <v>45349.157893518517</v>
      </c>
      <c r="E39" s="4" t="s">
        <v>7</v>
      </c>
      <c r="F39" s="4" t="s">
        <v>9</v>
      </c>
      <c r="G39" s="4">
        <v>417</v>
      </c>
      <c r="H39" s="4">
        <v>29</v>
      </c>
    </row>
    <row r="40" spans="4:8" ht="15.75" thickBot="1">
      <c r="D40" s="3">
        <v>45358.684212962966</v>
      </c>
      <c r="E40" s="4" t="s">
        <v>5</v>
      </c>
      <c r="F40" s="4" t="s">
        <v>9</v>
      </c>
      <c r="G40" s="4">
        <v>441</v>
      </c>
      <c r="H40" s="4">
        <v>44</v>
      </c>
    </row>
    <row r="41" spans="4:8" ht="15.75" hidden="1" thickBot="1">
      <c r="D41" s="3">
        <v>45368.210520833331</v>
      </c>
      <c r="E41" s="4" t="s">
        <v>7</v>
      </c>
      <c r="F41" s="4" t="s">
        <v>6</v>
      </c>
      <c r="G41" s="4">
        <v>76</v>
      </c>
      <c r="H41" s="4">
        <v>63</v>
      </c>
    </row>
    <row r="42" spans="4:8" ht="15.75" hidden="1" thickBot="1">
      <c r="D42" s="3">
        <v>45377.736840277779</v>
      </c>
      <c r="E42" s="4" t="s">
        <v>5</v>
      </c>
      <c r="F42" s="4" t="s">
        <v>8</v>
      </c>
      <c r="G42" s="4">
        <v>441</v>
      </c>
      <c r="H42" s="4">
        <v>79</v>
      </c>
    </row>
    <row r="43" spans="4:8" ht="15.75" hidden="1" thickBot="1">
      <c r="D43" s="3">
        <v>45387.263159722221</v>
      </c>
      <c r="E43" s="4" t="s">
        <v>7</v>
      </c>
      <c r="F43" s="4" t="s">
        <v>6</v>
      </c>
      <c r="G43" s="4">
        <v>205</v>
      </c>
      <c r="H43" s="4">
        <v>23</v>
      </c>
    </row>
    <row r="44" spans="4:8" ht="15.75" hidden="1" thickBot="1">
      <c r="D44" s="3">
        <v>45396.789479166669</v>
      </c>
      <c r="E44" s="4" t="s">
        <v>5</v>
      </c>
      <c r="F44" s="4" t="s">
        <v>8</v>
      </c>
      <c r="G44" s="4">
        <v>483</v>
      </c>
      <c r="H44" s="4">
        <v>97</v>
      </c>
    </row>
    <row r="45" spans="4:8" ht="15.75" hidden="1" thickBot="1">
      <c r="D45" s="3">
        <v>45406.315787037034</v>
      </c>
      <c r="E45" s="4" t="s">
        <v>10</v>
      </c>
      <c r="F45" s="4" t="s">
        <v>6</v>
      </c>
      <c r="G45" s="4">
        <v>467</v>
      </c>
      <c r="H45" s="4">
        <v>97</v>
      </c>
    </row>
    <row r="46" spans="4:8" ht="15.75" hidden="1" thickBot="1">
      <c r="D46" s="3">
        <v>45415.842106481483</v>
      </c>
      <c r="E46" s="4" t="s">
        <v>5</v>
      </c>
      <c r="F46" s="4" t="s">
        <v>6</v>
      </c>
      <c r="G46" s="4">
        <v>380</v>
      </c>
      <c r="H46" s="4">
        <v>92</v>
      </c>
    </row>
    <row r="47" spans="4:8" ht="15.75" hidden="1" thickBot="1">
      <c r="D47" s="3">
        <v>45425.368425925924</v>
      </c>
      <c r="E47" s="4" t="s">
        <v>7</v>
      </c>
      <c r="F47" s="4" t="s">
        <v>8</v>
      </c>
      <c r="G47" s="4">
        <v>497</v>
      </c>
      <c r="H47" s="4">
        <v>71</v>
      </c>
    </row>
    <row r="48" spans="4:8" ht="15.75" hidden="1" thickBot="1">
      <c r="D48" s="3">
        <v>45434.894733796296</v>
      </c>
      <c r="E48" s="4" t="s">
        <v>7</v>
      </c>
      <c r="F48" s="4" t="s">
        <v>6</v>
      </c>
      <c r="G48" s="4">
        <v>409</v>
      </c>
      <c r="H48" s="4">
        <v>81</v>
      </c>
    </row>
    <row r="49" spans="4:8" ht="15.75" hidden="1" thickBot="1">
      <c r="D49" s="3">
        <v>45444.421053240738</v>
      </c>
      <c r="E49" s="4" t="s">
        <v>5</v>
      </c>
      <c r="F49" s="4" t="s">
        <v>8</v>
      </c>
      <c r="G49" s="4">
        <v>53</v>
      </c>
      <c r="H49" s="4">
        <v>45</v>
      </c>
    </row>
    <row r="50" spans="4:8" ht="15.75" thickBot="1">
      <c r="D50" s="3">
        <v>45453.947372685187</v>
      </c>
      <c r="E50" s="4" t="s">
        <v>5</v>
      </c>
      <c r="F50" s="4" t="s">
        <v>9</v>
      </c>
      <c r="G50" s="4">
        <v>398</v>
      </c>
      <c r="H50" s="4">
        <v>33</v>
      </c>
    </row>
    <row r="51" spans="4:8" ht="15.75" hidden="1" thickBot="1">
      <c r="D51" s="3">
        <v>45463.473680555559</v>
      </c>
      <c r="E51" s="4" t="s">
        <v>11</v>
      </c>
      <c r="F51" s="4" t="s">
        <v>8</v>
      </c>
      <c r="G51" s="4">
        <v>347</v>
      </c>
      <c r="H51" s="4">
        <v>35</v>
      </c>
    </row>
    <row r="52" spans="4:8" ht="15.75" thickBot="1">
      <c r="D52" s="3">
        <v>45473</v>
      </c>
      <c r="E52" s="4" t="s">
        <v>7</v>
      </c>
      <c r="F52" s="4" t="s">
        <v>9</v>
      </c>
      <c r="G52" s="4">
        <v>319</v>
      </c>
      <c r="H52" s="4">
        <v>45</v>
      </c>
    </row>
  </sheetData>
  <autoFilter ref="D32:H52">
    <filterColumn colId="2">
      <filters>
        <filter val="Apples"/>
      </filters>
    </filterColumn>
  </autoFilter>
  <sortState ref="R7:V26">
    <sortCondition ref="T7:T26"/>
  </sortState>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4"/>
  <sheetViews>
    <sheetView workbookViewId="0">
      <selection activeCell="F21" sqref="F21"/>
    </sheetView>
  </sheetViews>
  <sheetFormatPr defaultRowHeight="15"/>
  <cols>
    <col min="1" max="1" width="52.28515625" customWidth="1"/>
    <col min="4" max="4" width="13.5703125" bestFit="1" customWidth="1"/>
    <col min="5" max="5" width="12.140625" bestFit="1" customWidth="1"/>
    <col min="18" max="18" width="9.140625" customWidth="1"/>
  </cols>
  <sheetData>
    <row r="1" spans="1:5" ht="24" customHeight="1">
      <c r="A1" s="7" t="s">
        <v>22</v>
      </c>
    </row>
    <row r="3" spans="1:5">
      <c r="D3" s="8" t="s">
        <v>16</v>
      </c>
      <c r="E3" t="s">
        <v>18</v>
      </c>
    </row>
    <row r="4" spans="1:5">
      <c r="D4" s="12">
        <v>45292</v>
      </c>
      <c r="E4" s="10">
        <v>456</v>
      </c>
    </row>
    <row r="5" spans="1:5">
      <c r="D5" s="12">
        <v>45301.526319444441</v>
      </c>
      <c r="E5" s="10">
        <v>348</v>
      </c>
    </row>
    <row r="6" spans="1:5">
      <c r="D6" s="12">
        <v>45311.052627314813</v>
      </c>
      <c r="E6" s="10">
        <v>247</v>
      </c>
    </row>
    <row r="7" spans="1:5">
      <c r="D7" s="12">
        <v>45320.578946759262</v>
      </c>
      <c r="E7" s="10">
        <v>230</v>
      </c>
    </row>
    <row r="8" spans="1:5">
      <c r="D8" s="12">
        <v>45330.105266203704</v>
      </c>
      <c r="E8" s="10">
        <v>281</v>
      </c>
    </row>
    <row r="9" spans="1:5">
      <c r="D9" s="12">
        <v>45339.631574074076</v>
      </c>
      <c r="E9" s="10">
        <v>334</v>
      </c>
    </row>
    <row r="10" spans="1:5">
      <c r="D10" s="12">
        <v>45349.157893518517</v>
      </c>
      <c r="E10" s="10">
        <v>417</v>
      </c>
    </row>
    <row r="11" spans="1:5">
      <c r="D11" s="12">
        <v>45358.684212962966</v>
      </c>
      <c r="E11" s="10">
        <v>441</v>
      </c>
    </row>
    <row r="12" spans="1:5">
      <c r="D12" s="12">
        <v>45368.210520833331</v>
      </c>
      <c r="E12" s="10">
        <v>76</v>
      </c>
    </row>
    <row r="13" spans="1:5">
      <c r="D13" s="12">
        <v>45377.736840277779</v>
      </c>
      <c r="E13" s="10">
        <v>441</v>
      </c>
    </row>
    <row r="14" spans="1:5">
      <c r="D14" s="12">
        <v>45387.263159722221</v>
      </c>
      <c r="E14" s="10">
        <v>205</v>
      </c>
    </row>
    <row r="15" spans="1:5">
      <c r="D15" s="12">
        <v>45396.789479166669</v>
      </c>
      <c r="E15" s="10">
        <v>483</v>
      </c>
    </row>
    <row r="16" spans="1:5">
      <c r="D16" s="12">
        <v>45406.315787037034</v>
      </c>
      <c r="E16" s="10">
        <v>467</v>
      </c>
    </row>
    <row r="17" spans="4:5">
      <c r="D17" s="12">
        <v>45415.842106481483</v>
      </c>
      <c r="E17" s="10">
        <v>380</v>
      </c>
    </row>
    <row r="18" spans="4:5">
      <c r="D18" s="12">
        <v>45425.368425925924</v>
      </c>
      <c r="E18" s="10">
        <v>497</v>
      </c>
    </row>
    <row r="19" spans="4:5">
      <c r="D19" s="12">
        <v>45434.894733796296</v>
      </c>
      <c r="E19" s="10">
        <v>409</v>
      </c>
    </row>
    <row r="20" spans="4:5">
      <c r="D20" s="12">
        <v>45444.421053240738</v>
      </c>
      <c r="E20" s="10">
        <v>53</v>
      </c>
    </row>
    <row r="21" spans="4:5">
      <c r="D21" s="12">
        <v>45453.947372685187</v>
      </c>
      <c r="E21" s="10">
        <v>398</v>
      </c>
    </row>
    <row r="22" spans="4:5">
      <c r="D22" s="12">
        <v>45463.473680555559</v>
      </c>
      <c r="E22" s="10">
        <v>347</v>
      </c>
    </row>
    <row r="23" spans="4:5">
      <c r="D23" s="12">
        <v>45473</v>
      </c>
      <c r="E23" s="10">
        <v>319</v>
      </c>
    </row>
    <row r="24" spans="4:5">
      <c r="D24" s="12" t="s">
        <v>17</v>
      </c>
      <c r="E24" s="10">
        <v>6829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dimension ref="A1:J35"/>
  <sheetViews>
    <sheetView workbookViewId="0">
      <selection activeCell="L20" sqref="L20"/>
    </sheetView>
  </sheetViews>
  <sheetFormatPr defaultRowHeight="15"/>
  <cols>
    <col min="1" max="1" width="66" customWidth="1"/>
    <col min="6" max="6" width="18" customWidth="1"/>
  </cols>
  <sheetData>
    <row r="1" spans="1:10" ht="21.75" customHeight="1">
      <c r="A1" s="13" t="s">
        <v>23</v>
      </c>
    </row>
    <row r="8" spans="1:10">
      <c r="E8" s="17" t="s">
        <v>43</v>
      </c>
      <c r="F8" s="17" t="s">
        <v>0</v>
      </c>
      <c r="G8" s="17" t="s">
        <v>1</v>
      </c>
      <c r="H8" s="17" t="s">
        <v>2</v>
      </c>
      <c r="I8" s="17" t="s">
        <v>18</v>
      </c>
      <c r="J8" s="14" t="s">
        <v>44</v>
      </c>
    </row>
    <row r="9" spans="1:10">
      <c r="E9" s="14" t="s">
        <v>45</v>
      </c>
      <c r="F9" s="15">
        <v>45292</v>
      </c>
      <c r="G9" s="14" t="s">
        <v>5</v>
      </c>
      <c r="H9" s="14" t="s">
        <v>6</v>
      </c>
      <c r="I9" s="16">
        <v>456</v>
      </c>
      <c r="J9" s="16">
        <v>93</v>
      </c>
    </row>
    <row r="10" spans="1:10">
      <c r="E10" s="14"/>
      <c r="F10" s="15">
        <v>45301.526319444441</v>
      </c>
      <c r="G10" s="14" t="s">
        <v>7</v>
      </c>
      <c r="H10" s="14" t="s">
        <v>8</v>
      </c>
      <c r="I10" s="16">
        <v>348</v>
      </c>
      <c r="J10" s="16">
        <v>56</v>
      </c>
    </row>
    <row r="11" spans="1:10">
      <c r="E11" s="14"/>
      <c r="F11" s="15">
        <v>45311.052627314813</v>
      </c>
      <c r="G11" s="14" t="s">
        <v>7</v>
      </c>
      <c r="H11" s="14" t="s">
        <v>6</v>
      </c>
      <c r="I11" s="16">
        <v>247</v>
      </c>
      <c r="J11" s="16">
        <v>76</v>
      </c>
    </row>
    <row r="12" spans="1:10">
      <c r="E12" s="14"/>
      <c r="F12" s="15">
        <v>45320.578946759262</v>
      </c>
      <c r="G12" s="14" t="s">
        <v>5</v>
      </c>
      <c r="H12" s="14" t="s">
        <v>9</v>
      </c>
      <c r="I12" s="16">
        <v>230</v>
      </c>
      <c r="J12" s="16">
        <v>37</v>
      </c>
    </row>
    <row r="13" spans="1:10">
      <c r="E13" s="14" t="s">
        <v>46</v>
      </c>
      <c r="F13" s="14"/>
      <c r="G13" s="14"/>
      <c r="H13" s="14"/>
      <c r="I13" s="16">
        <v>1281</v>
      </c>
      <c r="J13" s="16">
        <v>262</v>
      </c>
    </row>
    <row r="14" spans="1:10">
      <c r="E14" s="14" t="s">
        <v>47</v>
      </c>
      <c r="F14" s="15">
        <v>45330.105266203704</v>
      </c>
      <c r="G14" s="14" t="s">
        <v>5</v>
      </c>
      <c r="H14" s="14" t="s">
        <v>6</v>
      </c>
      <c r="I14" s="16">
        <v>281</v>
      </c>
      <c r="J14" s="16">
        <v>50</v>
      </c>
    </row>
    <row r="15" spans="1:10">
      <c r="E15" s="14"/>
      <c r="F15" s="15">
        <v>45339.631574074076</v>
      </c>
      <c r="G15" s="14" t="s">
        <v>5</v>
      </c>
      <c r="H15" s="14" t="s">
        <v>8</v>
      </c>
      <c r="I15" s="16">
        <v>334</v>
      </c>
      <c r="J15" s="16">
        <v>52</v>
      </c>
    </row>
    <row r="16" spans="1:10">
      <c r="E16" s="14"/>
      <c r="F16" s="15">
        <v>45349.157893518517</v>
      </c>
      <c r="G16" s="14" t="s">
        <v>7</v>
      </c>
      <c r="H16" s="14" t="s">
        <v>9</v>
      </c>
      <c r="I16" s="16">
        <v>417</v>
      </c>
      <c r="J16" s="16">
        <v>29</v>
      </c>
    </row>
    <row r="17" spans="5:10">
      <c r="E17" s="14" t="s">
        <v>48</v>
      </c>
      <c r="F17" s="14"/>
      <c r="G17" s="14"/>
      <c r="H17" s="14"/>
      <c r="I17" s="16">
        <v>1032</v>
      </c>
      <c r="J17" s="16">
        <v>131</v>
      </c>
    </row>
    <row r="18" spans="5:10">
      <c r="E18" s="14" t="s">
        <v>49</v>
      </c>
      <c r="F18" s="15">
        <v>45358.684212962966</v>
      </c>
      <c r="G18" s="14" t="s">
        <v>5</v>
      </c>
      <c r="H18" s="14" t="s">
        <v>9</v>
      </c>
      <c r="I18" s="16">
        <v>441</v>
      </c>
      <c r="J18" s="16">
        <v>44</v>
      </c>
    </row>
    <row r="19" spans="5:10">
      <c r="E19" s="14"/>
      <c r="F19" s="15">
        <v>45368.210520833331</v>
      </c>
      <c r="G19" s="14" t="s">
        <v>7</v>
      </c>
      <c r="H19" s="14" t="s">
        <v>6</v>
      </c>
      <c r="I19" s="16">
        <v>76</v>
      </c>
      <c r="J19" s="16">
        <v>63</v>
      </c>
    </row>
    <row r="20" spans="5:10">
      <c r="E20" s="14"/>
      <c r="F20" s="15">
        <v>45377.736840277779</v>
      </c>
      <c r="G20" s="14" t="s">
        <v>5</v>
      </c>
      <c r="H20" s="14" t="s">
        <v>8</v>
      </c>
      <c r="I20" s="16">
        <v>441</v>
      </c>
      <c r="J20" s="16">
        <v>79</v>
      </c>
    </row>
    <row r="21" spans="5:10">
      <c r="E21" s="14" t="s">
        <v>50</v>
      </c>
      <c r="F21" s="14"/>
      <c r="G21" s="14"/>
      <c r="H21" s="14"/>
      <c r="I21" s="16">
        <v>958</v>
      </c>
      <c r="J21" s="16">
        <v>186</v>
      </c>
    </row>
    <row r="22" spans="5:10">
      <c r="E22" s="14" t="s">
        <v>51</v>
      </c>
      <c r="F22" s="15">
        <v>45387.263159722221</v>
      </c>
      <c r="G22" s="14" t="s">
        <v>7</v>
      </c>
      <c r="H22" s="14" t="s">
        <v>6</v>
      </c>
      <c r="I22" s="16">
        <v>205</v>
      </c>
      <c r="J22" s="16">
        <v>23</v>
      </c>
    </row>
    <row r="23" spans="5:10">
      <c r="E23" s="14"/>
      <c r="F23" s="15">
        <v>45396.789479166669</v>
      </c>
      <c r="G23" s="14" t="s">
        <v>5</v>
      </c>
      <c r="H23" s="14" t="s">
        <v>8</v>
      </c>
      <c r="I23" s="16">
        <v>483</v>
      </c>
      <c r="J23" s="16">
        <v>97</v>
      </c>
    </row>
    <row r="24" spans="5:10">
      <c r="E24" s="14"/>
      <c r="F24" s="15">
        <v>45406.315787037034</v>
      </c>
      <c r="G24" s="14" t="s">
        <v>10</v>
      </c>
      <c r="H24" s="14" t="s">
        <v>6</v>
      </c>
      <c r="I24" s="16">
        <v>467</v>
      </c>
      <c r="J24" s="16">
        <v>97</v>
      </c>
    </row>
    <row r="25" spans="5:10">
      <c r="E25" s="14" t="s">
        <v>52</v>
      </c>
      <c r="F25" s="14"/>
      <c r="G25" s="14"/>
      <c r="H25" s="14"/>
      <c r="I25" s="16">
        <v>1155</v>
      </c>
      <c r="J25" s="16">
        <v>217</v>
      </c>
    </row>
    <row r="26" spans="5:10">
      <c r="E26" s="14" t="s">
        <v>53</v>
      </c>
      <c r="F26" s="15">
        <v>45415.842106481483</v>
      </c>
      <c r="G26" s="14" t="s">
        <v>5</v>
      </c>
      <c r="H26" s="14" t="s">
        <v>6</v>
      </c>
      <c r="I26" s="16">
        <v>380</v>
      </c>
      <c r="J26" s="16">
        <v>92</v>
      </c>
    </row>
    <row r="27" spans="5:10">
      <c r="E27" s="14"/>
      <c r="F27" s="15">
        <v>45425.368425925924</v>
      </c>
      <c r="G27" s="14" t="s">
        <v>7</v>
      </c>
      <c r="H27" s="14" t="s">
        <v>8</v>
      </c>
      <c r="I27" s="16">
        <v>497</v>
      </c>
      <c r="J27" s="16">
        <v>71</v>
      </c>
    </row>
    <row r="28" spans="5:10">
      <c r="E28" s="14"/>
      <c r="F28" s="15">
        <v>45434.894733796296</v>
      </c>
      <c r="G28" s="14" t="s">
        <v>7</v>
      </c>
      <c r="H28" s="14" t="s">
        <v>6</v>
      </c>
      <c r="I28" s="16">
        <v>409</v>
      </c>
      <c r="J28" s="16">
        <v>81</v>
      </c>
    </row>
    <row r="29" spans="5:10">
      <c r="E29" s="14" t="s">
        <v>54</v>
      </c>
      <c r="F29" s="14"/>
      <c r="G29" s="14"/>
      <c r="H29" s="14"/>
      <c r="I29" s="16">
        <v>1286</v>
      </c>
      <c r="J29" s="16">
        <v>244</v>
      </c>
    </row>
    <row r="30" spans="5:10">
      <c r="E30" s="14" t="s">
        <v>55</v>
      </c>
      <c r="F30" s="15">
        <v>45444.421053240738</v>
      </c>
      <c r="G30" s="14" t="s">
        <v>5</v>
      </c>
      <c r="H30" s="14" t="s">
        <v>8</v>
      </c>
      <c r="I30" s="16">
        <v>53</v>
      </c>
      <c r="J30" s="16">
        <v>45</v>
      </c>
    </row>
    <row r="31" spans="5:10">
      <c r="E31" s="14"/>
      <c r="F31" s="15">
        <v>45453.947372685187</v>
      </c>
      <c r="G31" s="14" t="s">
        <v>5</v>
      </c>
      <c r="H31" s="14" t="s">
        <v>9</v>
      </c>
      <c r="I31" s="16">
        <v>398</v>
      </c>
      <c r="J31" s="16">
        <v>33</v>
      </c>
    </row>
    <row r="32" spans="5:10">
      <c r="E32" s="14"/>
      <c r="F32" s="15">
        <v>45463.473680555559</v>
      </c>
      <c r="G32" s="14" t="s">
        <v>11</v>
      </c>
      <c r="H32" s="14" t="s">
        <v>8</v>
      </c>
      <c r="I32" s="16">
        <v>347</v>
      </c>
      <c r="J32" s="16">
        <v>35</v>
      </c>
    </row>
    <row r="33" spans="5:10">
      <c r="E33" s="14"/>
      <c r="F33" s="15">
        <v>45473</v>
      </c>
      <c r="G33" s="14" t="s">
        <v>7</v>
      </c>
      <c r="H33" s="14" t="s">
        <v>9</v>
      </c>
      <c r="I33" s="16">
        <v>319</v>
      </c>
      <c r="J33" s="16">
        <v>45</v>
      </c>
    </row>
    <row r="34" spans="5:10">
      <c r="E34" s="14" t="s">
        <v>56</v>
      </c>
      <c r="F34" s="14"/>
      <c r="G34" s="14"/>
      <c r="H34" s="14"/>
      <c r="I34" s="16">
        <v>1117</v>
      </c>
      <c r="J34" s="16">
        <v>158</v>
      </c>
    </row>
    <row r="35" spans="5:10">
      <c r="E35" s="14" t="s">
        <v>17</v>
      </c>
      <c r="F35" s="14"/>
      <c r="G35" s="14"/>
      <c r="H35" s="14"/>
      <c r="I35" s="16">
        <v>6829</v>
      </c>
      <c r="J35" s="16">
        <v>1198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dimension ref="A1:A3"/>
  <sheetViews>
    <sheetView workbookViewId="0">
      <selection activeCell="C13" sqref="C13"/>
    </sheetView>
  </sheetViews>
  <sheetFormatPr defaultRowHeight="15"/>
  <cols>
    <col min="1" max="1" width="75" customWidth="1"/>
  </cols>
  <sheetData>
    <row r="1" spans="1:1">
      <c r="A1" t="s">
        <v>57</v>
      </c>
    </row>
    <row r="2" spans="1:1">
      <c r="A2" t="s">
        <v>26</v>
      </c>
    </row>
    <row r="3" spans="1:1" ht="56.25" customHeight="1">
      <c r="A3" s="7" t="s">
        <v>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43"/>
  <sheetViews>
    <sheetView topLeftCell="A11" workbookViewId="0">
      <selection activeCell="R33" sqref="R33"/>
    </sheetView>
  </sheetViews>
  <sheetFormatPr defaultRowHeight="15"/>
  <cols>
    <col min="1" max="1" width="42.85546875" customWidth="1"/>
    <col min="4" max="4" width="13.5703125" customWidth="1"/>
    <col min="5" max="5" width="12.140625" bestFit="1" customWidth="1"/>
  </cols>
  <sheetData>
    <row r="1" spans="1:5" ht="115.5" customHeight="1">
      <c r="A1" s="7" t="s">
        <v>27</v>
      </c>
    </row>
    <row r="3" spans="1:5">
      <c r="A3" t="s">
        <v>24</v>
      </c>
    </row>
    <row r="4" spans="1:5">
      <c r="A4" t="s">
        <v>25</v>
      </c>
      <c r="D4" s="8" t="s">
        <v>16</v>
      </c>
      <c r="E4" t="s">
        <v>18</v>
      </c>
    </row>
    <row r="5" spans="1:5">
      <c r="D5" s="9" t="s">
        <v>10</v>
      </c>
      <c r="E5" s="10">
        <v>467</v>
      </c>
    </row>
    <row r="6" spans="1:5">
      <c r="D6" s="9" t="s">
        <v>11</v>
      </c>
      <c r="E6" s="10">
        <v>347</v>
      </c>
    </row>
    <row r="7" spans="1:5">
      <c r="D7" s="9" t="s">
        <v>7</v>
      </c>
      <c r="E7" s="10">
        <v>2518</v>
      </c>
    </row>
    <row r="8" spans="1:5">
      <c r="D8" s="9" t="s">
        <v>5</v>
      </c>
      <c r="E8" s="10">
        <v>3497</v>
      </c>
    </row>
    <row r="9" spans="1:5">
      <c r="D9" s="9" t="s">
        <v>17</v>
      </c>
      <c r="E9" s="10">
        <v>6829</v>
      </c>
    </row>
    <row r="22" spans="1:5">
      <c r="A22" t="s">
        <v>28</v>
      </c>
      <c r="D22" s="8" t="s">
        <v>16</v>
      </c>
      <c r="E22" t="s">
        <v>18</v>
      </c>
    </row>
    <row r="23" spans="1:5">
      <c r="D23" s="12">
        <v>45292</v>
      </c>
      <c r="E23" s="10">
        <v>456</v>
      </c>
    </row>
    <row r="24" spans="1:5">
      <c r="D24" s="12">
        <v>45301.526319444441</v>
      </c>
      <c r="E24" s="10">
        <v>348</v>
      </c>
    </row>
    <row r="25" spans="1:5">
      <c r="D25" s="12">
        <v>45311.052627314813</v>
      </c>
      <c r="E25" s="10">
        <v>247</v>
      </c>
    </row>
    <row r="26" spans="1:5">
      <c r="D26" s="12">
        <v>45320.578946759262</v>
      </c>
      <c r="E26" s="10">
        <v>230</v>
      </c>
    </row>
    <row r="27" spans="1:5">
      <c r="D27" s="12">
        <v>45330.105266203704</v>
      </c>
      <c r="E27" s="10">
        <v>281</v>
      </c>
    </row>
    <row r="28" spans="1:5">
      <c r="D28" s="12">
        <v>45339.631574074076</v>
      </c>
      <c r="E28" s="10">
        <v>334</v>
      </c>
    </row>
    <row r="29" spans="1:5">
      <c r="D29" s="12">
        <v>45349.157893518517</v>
      </c>
      <c r="E29" s="10">
        <v>417</v>
      </c>
    </row>
    <row r="30" spans="1:5">
      <c r="D30" s="12">
        <v>45358.684212962966</v>
      </c>
      <c r="E30" s="10">
        <v>441</v>
      </c>
    </row>
    <row r="31" spans="1:5">
      <c r="D31" s="12">
        <v>45368.210520833331</v>
      </c>
      <c r="E31" s="10">
        <v>76</v>
      </c>
    </row>
    <row r="32" spans="1:5">
      <c r="D32" s="12">
        <v>45377.736840277779</v>
      </c>
      <c r="E32" s="10">
        <v>441</v>
      </c>
    </row>
    <row r="33" spans="4:5">
      <c r="D33" s="12">
        <v>45387.263159722221</v>
      </c>
      <c r="E33" s="10">
        <v>205</v>
      </c>
    </row>
    <row r="34" spans="4:5">
      <c r="D34" s="12">
        <v>45396.789479166669</v>
      </c>
      <c r="E34" s="10">
        <v>483</v>
      </c>
    </row>
    <row r="35" spans="4:5">
      <c r="D35" s="12">
        <v>45406.315787037034</v>
      </c>
      <c r="E35" s="10">
        <v>467</v>
      </c>
    </row>
    <row r="36" spans="4:5">
      <c r="D36" s="12">
        <v>45415.842106481483</v>
      </c>
      <c r="E36" s="10">
        <v>380</v>
      </c>
    </row>
    <row r="37" spans="4:5">
      <c r="D37" s="12">
        <v>45425.368425925924</v>
      </c>
      <c r="E37" s="10">
        <v>497</v>
      </c>
    </row>
    <row r="38" spans="4:5">
      <c r="D38" s="12">
        <v>45434.894733796296</v>
      </c>
      <c r="E38" s="10">
        <v>409</v>
      </c>
    </row>
    <row r="39" spans="4:5">
      <c r="D39" s="12">
        <v>45444.421053240738</v>
      </c>
      <c r="E39" s="10">
        <v>53</v>
      </c>
    </row>
    <row r="40" spans="4:5">
      <c r="D40" s="12">
        <v>45453.947372685187</v>
      </c>
      <c r="E40" s="10">
        <v>398</v>
      </c>
    </row>
    <row r="41" spans="4:5">
      <c r="D41" s="12">
        <v>45463.473680555559</v>
      </c>
      <c r="E41" s="10">
        <v>347</v>
      </c>
    </row>
    <row r="42" spans="4:5">
      <c r="D42" s="12">
        <v>45473</v>
      </c>
      <c r="E42" s="10">
        <v>319</v>
      </c>
    </row>
    <row r="43" spans="4:5">
      <c r="D43" s="12" t="s">
        <v>17</v>
      </c>
      <c r="E43" s="10">
        <v>6829</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dimension ref="A1:E11"/>
  <sheetViews>
    <sheetView workbookViewId="0">
      <selection activeCell="A4" sqref="A4"/>
    </sheetView>
  </sheetViews>
  <sheetFormatPr defaultRowHeight="15"/>
  <cols>
    <col min="1" max="1" width="79" customWidth="1"/>
    <col min="4" max="4" width="14.42578125" customWidth="1"/>
    <col min="5" max="5" width="16.5703125" customWidth="1"/>
  </cols>
  <sheetData>
    <row r="1" spans="1:5" ht="19.5" customHeight="1">
      <c r="A1" t="s">
        <v>59</v>
      </c>
    </row>
    <row r="4" spans="1:5">
      <c r="A4" t="s">
        <v>26</v>
      </c>
      <c r="D4" s="17" t="s">
        <v>60</v>
      </c>
      <c r="E4" s="14" t="s">
        <v>61</v>
      </c>
    </row>
    <row r="5" spans="1:5">
      <c r="D5" s="14" t="s">
        <v>45</v>
      </c>
      <c r="E5" s="18">
        <v>320.25</v>
      </c>
    </row>
    <row r="6" spans="1:5">
      <c r="D6" s="14" t="s">
        <v>47</v>
      </c>
      <c r="E6" s="18">
        <v>344</v>
      </c>
    </row>
    <row r="7" spans="1:5">
      <c r="D7" s="14" t="s">
        <v>49</v>
      </c>
      <c r="E7" s="18">
        <v>319.33333333333331</v>
      </c>
    </row>
    <row r="8" spans="1:5">
      <c r="D8" s="14" t="s">
        <v>51</v>
      </c>
      <c r="E8" s="18">
        <v>385</v>
      </c>
    </row>
    <row r="9" spans="1:5">
      <c r="D9" s="14" t="s">
        <v>53</v>
      </c>
      <c r="E9" s="18">
        <v>428.66666666666669</v>
      </c>
    </row>
    <row r="10" spans="1:5">
      <c r="D10" s="14" t="s">
        <v>55</v>
      </c>
      <c r="E10" s="18">
        <v>279.25</v>
      </c>
    </row>
    <row r="11" spans="1:5">
      <c r="D11" s="14" t="s">
        <v>62</v>
      </c>
      <c r="E11" s="18">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10"/>
  <sheetViews>
    <sheetView tabSelected="1" workbookViewId="0">
      <selection activeCell="D18" sqref="D18"/>
    </sheetView>
  </sheetViews>
  <sheetFormatPr defaultRowHeight="15"/>
  <cols>
    <col min="1" max="1" width="94.28515625" customWidth="1"/>
    <col min="6" max="6" width="15.7109375" customWidth="1"/>
  </cols>
  <sheetData>
    <row r="1" spans="1:6" ht="21" customHeight="1">
      <c r="A1" t="s">
        <v>63</v>
      </c>
    </row>
    <row r="4" spans="1:6">
      <c r="E4" s="23" t="s">
        <v>2</v>
      </c>
      <c r="F4" s="19" t="s">
        <v>18</v>
      </c>
    </row>
    <row r="5" spans="1:6">
      <c r="E5" s="20" t="s">
        <v>64</v>
      </c>
      <c r="F5" s="21">
        <v>4308</v>
      </c>
    </row>
    <row r="6" spans="1:6">
      <c r="E6" s="22" t="s">
        <v>9</v>
      </c>
      <c r="F6" s="21">
        <v>1805</v>
      </c>
    </row>
    <row r="7" spans="1:6">
      <c r="E7" s="22" t="s">
        <v>8</v>
      </c>
      <c r="F7" s="21">
        <v>2503</v>
      </c>
    </row>
    <row r="8" spans="1:6">
      <c r="E8" s="20" t="s">
        <v>6</v>
      </c>
      <c r="F8" s="21">
        <v>2521</v>
      </c>
    </row>
    <row r="9" spans="1:6">
      <c r="E9" s="22" t="s">
        <v>6</v>
      </c>
      <c r="F9" s="21">
        <v>2521</v>
      </c>
    </row>
    <row r="10" spans="1:6">
      <c r="E10" s="20" t="s">
        <v>17</v>
      </c>
      <c r="F10" s="21">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 Dataset </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2025-12-25T10:14:13Z</dcterms:modified>
</cp:coreProperties>
</file>