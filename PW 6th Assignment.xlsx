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9"/>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24519"/>
</workbook>
</file>

<file path=xl/calcChain.xml><?xml version="1.0" encoding="utf-8"?>
<calcChain xmlns="http://schemas.openxmlformats.org/spreadsheetml/2006/main">
  <c r="F4" i="10"/>
  <c r="G4"/>
  <c r="H4"/>
  <c r="J4"/>
  <c r="I4" l="1"/>
  <c r="F8" i="6"/>
  <c r="G5" i="9" l="1"/>
  <c r="F5"/>
  <c r="F6" i="5"/>
  <c r="F6" i="4"/>
  <c r="H5" i="1" l="1"/>
  <c r="G5"/>
  <c r="F5"/>
  <c r="G6" i="4" l="1"/>
  <c r="F5" i="3"/>
  <c r="F5" i="2"/>
</calcChain>
</file>

<file path=xl/sharedStrings.xml><?xml version="1.0" encoding="utf-8"?>
<sst xmlns="http://schemas.openxmlformats.org/spreadsheetml/2006/main" count="117" uniqueCount="106">
  <si>
    <t>Q2: Mean in Real Life</t>
  </si>
  <si>
    <t xml:space="preserve">A teacher records the marks of her students in a short quiz: [12, 15, 14, 16, 18, 20, 19]. 
What is the mean score, and what does it tell us about the class’s performance? 
</t>
  </si>
  <si>
    <t>Student Name</t>
  </si>
  <si>
    <t>Score</t>
  </si>
  <si>
    <t>S1</t>
  </si>
  <si>
    <t>S2</t>
  </si>
  <si>
    <t>S3</t>
  </si>
  <si>
    <t>S4</t>
  </si>
  <si>
    <t>S5</t>
  </si>
  <si>
    <t>S6</t>
  </si>
  <si>
    <t>S7</t>
  </si>
  <si>
    <t>Mean Score</t>
  </si>
  <si>
    <t>Q3: Mode in Real Life</t>
  </si>
  <si>
    <t xml:space="preserve">A store records the shoe sizes sold in one day: [7, 8, 9, 8, 8, 10, 7, 9]. 
What is the mode, and why is this information useful for the store manager? 
</t>
  </si>
  <si>
    <t>Mode</t>
  </si>
  <si>
    <t>Q4: Median in Real Life</t>
  </si>
  <si>
    <t>A car dealer notes the prices of used cars: [$8,000, $9,500, $10,200, $11,000, $50,000]. 
Why is the median a better measure than the mean in this case? Calculate the median.
 </t>
  </si>
  <si>
    <t>Car</t>
  </si>
  <si>
    <t>Price</t>
  </si>
  <si>
    <t>Median</t>
  </si>
  <si>
    <t>Car 1</t>
  </si>
  <si>
    <t>Car 2</t>
  </si>
  <si>
    <t>Car 3</t>
  </si>
  <si>
    <t>Car 4</t>
  </si>
  <si>
    <t>Car 5</t>
  </si>
  <si>
    <t>Q5: Dispersion Introduction</t>
  </si>
  <si>
    <t>A student times how long it takes to finish a puzzle each day: [25, 30, 27, 35, 40]. 
What does the range tell us about the variation in the student’s puzzle-solving time?
 </t>
  </si>
  <si>
    <t>Time</t>
  </si>
  <si>
    <t>Q6: Range in Action</t>
  </si>
  <si>
    <t>A farmer records the weekly weight of harvested apples (kg): [100, 105, 98, 110, 120]. 
Find the range. How can this help the farmer in planning his packaging?
 </t>
  </si>
  <si>
    <t>Week</t>
  </si>
  <si>
    <t>Apples in kg</t>
  </si>
  <si>
    <t>Week 1</t>
  </si>
  <si>
    <t>Week 2</t>
  </si>
  <si>
    <t>Week 3</t>
  </si>
  <si>
    <t>Week 4</t>
  </si>
  <si>
    <t>Week 5</t>
  </si>
  <si>
    <t>Range</t>
  </si>
  <si>
    <t xml:space="preserve">Ans - </t>
  </si>
  <si>
    <t>Q7: Variance for Decision-Making</t>
  </si>
  <si>
    <t>Two delivery companies track delivery delays (in minutes).
- Company A: variance = 6
- Company B: variance = 15 
Which company is more consistent, and why? </t>
  </si>
  <si>
    <t>Q1: Understanding Central Tendency</t>
  </si>
  <si>
    <t xml:space="preserve">A bakery tracks the daily sales of muffins (in dozens) over a week: [10, 12, 11, 15, 14, 13, 12]. 
What is the most representative value of their weekly sales, and why? 
</t>
  </si>
  <si>
    <t>Days</t>
  </si>
  <si>
    <t>Mean</t>
  </si>
  <si>
    <t>D1</t>
  </si>
  <si>
    <t>D2</t>
  </si>
  <si>
    <t>D3</t>
  </si>
  <si>
    <t>D4</t>
  </si>
  <si>
    <t>D5</t>
  </si>
  <si>
    <t>D6</t>
  </si>
  <si>
    <t>D7</t>
  </si>
  <si>
    <t>Muffin sold(in dozzens)</t>
  </si>
  <si>
    <t xml:space="preserve">Ans - 12 is the most representive value of their sale because 12 dozzens is the most Practical value. We already calculate mean, median, mode. Mean = 12.42857, median &amp; mode = 12. We can not consider "Mean" value because it is not a whole number. </t>
  </si>
  <si>
    <r>
      <t xml:space="preserve">Ans - It tells the </t>
    </r>
    <r>
      <rPr>
        <sz val="11"/>
        <color rgb="FFFF0000"/>
        <rFont val="Calibri"/>
        <family val="2"/>
        <scheme val="minor"/>
      </rPr>
      <t>average Performance</t>
    </r>
    <r>
      <rPr>
        <sz val="11"/>
        <color theme="1"/>
        <rFont val="Calibri"/>
        <family val="2"/>
        <scheme val="minor"/>
      </rPr>
      <t xml:space="preserve"> of the class i.e. 16.28571429. It means all the student overall scored around 16 marks. The mean helps the teacher quickly understand how well the class performed as a whole.</t>
    </r>
  </si>
  <si>
    <t>Shoe Size</t>
  </si>
  <si>
    <r>
      <t xml:space="preserve">Ans - It usefull to calculate </t>
    </r>
    <r>
      <rPr>
        <sz val="11"/>
        <color rgb="FFFF0000"/>
        <rFont val="Calibri"/>
        <family val="2"/>
        <scheme val="minor"/>
      </rPr>
      <t>frequent value</t>
    </r>
    <r>
      <rPr>
        <sz val="11"/>
        <color theme="1"/>
        <rFont val="Calibri"/>
        <family val="2"/>
        <scheme val="minor"/>
      </rPr>
      <t xml:space="preserve"> of a data of a column. It tells that shoe size 8 is most sold shoe size of that store. This data helps that store in stock management,improve in sale efficiency, and it guides future purchasing decision.</t>
    </r>
  </si>
  <si>
    <t xml:space="preserve">Ans - Variance means the difference between expected result and actual result.                        Here,                                                                                                                                                             Company A: variance = 6                                                                                                                                                            Company B: variance = 15                                                                                                                    Here Company A is more consistent because it has low variance that is "6".                                  Because Low Variance gives consistent result while High Variance gives big swings in result and also it captures noise. So Low Variance is easy for decision making.                                                                                                                                                                                                                                                                                                                                                                                                    </t>
  </si>
  <si>
    <t xml:space="preserve">Ans - Here car 5 price is much higher than other 4 car price that is $50,000. Mean value of all 5 cars is $17,740 which is bigger than price of car 1 to car 4 price. So here we consider Car 3 price that is $10,200.                                                                                                                                                   </t>
  </si>
  <si>
    <t>The median is a better measure because it ignores the effect of the extremely high-priced car and gives a more realistic idea of typical used car prices.</t>
  </si>
  <si>
    <t>Day 1</t>
  </si>
  <si>
    <t>Day 2</t>
  </si>
  <si>
    <t>Day 3</t>
  </si>
  <si>
    <t>Day 4</t>
  </si>
  <si>
    <t>Day 5</t>
  </si>
  <si>
    <t xml:space="preserve">Ans - range = Maximum time - Minimum time = 40-25 = 15                                                                       Range shows difference between highest value and lowest value.                                                       Here the data tells that the student takes minimum 25 minutes and maximum 40 min to solve the puzzle. And time difference is 15 minutes                                                                                                                                                                                                       </t>
  </si>
  <si>
    <t>This shows there is moderate variation in their performance — not completely consistent, but not wildly unpredictable either</t>
  </si>
  <si>
    <t>The range shows how much the harvest weight varies, helping the farmer plan flexible and sufficient packaging for both low and high harvest week.</t>
  </si>
  <si>
    <t>Here the data tells that the farmer harvested maximum quantity in Week 5 that is 120 kg and harvested minimum quantity in week 3 that is 98 kg. and the difference between all 5 weeks are 22 kg.</t>
  </si>
  <si>
    <t>formula - Range - =MAX(select data) - MIN(select data) = 120-98 = 22</t>
  </si>
  <si>
    <t>Q8: Standard Deviation in Context</t>
  </si>
  <si>
    <t xml:space="preserve">A finance student compares the daily price fluctuations of two cryptocurrencies.
Coin A: standard deviation = $30
Coin B: standard deviation = $120 
Which coin is riskier to invest in, and why? 
</t>
  </si>
  <si>
    <t>Ans - standard deviation shows how much daily prices move away from the average price</t>
  </si>
  <si>
    <t>Lower standard Deviation means stable price and lower risk                                                                  Higher standard deviation means large price swings and higher risks</t>
  </si>
  <si>
    <t>Here Coin B : has lower standard deviation = $120. which is riskier to invest because of large price swings and higher risk.</t>
  </si>
  <si>
    <t>Q9: Combining Measures</t>
  </si>
  <si>
    <t xml:space="preserve">A family records their monthly electricity usage (in kWh): [400, 420, 390, 450, 410].  Find the mean and standard deviation. What do these values together tell you about the family’s energy use pattern? 
</t>
  </si>
  <si>
    <t>Electricity usage</t>
  </si>
  <si>
    <t>Standard Devivation</t>
  </si>
  <si>
    <t>Mean - it tells the average consumption of usage of this family that is 414kwh</t>
  </si>
  <si>
    <t>Months</t>
  </si>
  <si>
    <t>Month 1</t>
  </si>
  <si>
    <t>Month 2</t>
  </si>
  <si>
    <t>Month 3</t>
  </si>
  <si>
    <t>Month 4</t>
  </si>
  <si>
    <t>Month 5</t>
  </si>
  <si>
    <t>Standard Deviation - It tells their monthly usage is changes by 23kwh</t>
  </si>
  <si>
    <t>Since the standard deviation is small compared to the mean, the family’s electricity usage is fairly consistent and predictable.</t>
  </si>
  <si>
    <t>Q10: Practical Application</t>
  </si>
  <si>
    <t xml:space="preserve">A basketball player’s points in 8 games are recorded: [15, 18, 20, 22, 25, 17, 19, 21]. 
Find the mean, median, mode, range, and standard deviation. What insights can these measures provide
about the player’s scoring performance?
</t>
  </si>
  <si>
    <t>Games</t>
  </si>
  <si>
    <t>Point</t>
  </si>
  <si>
    <t>Standard Deviation</t>
  </si>
  <si>
    <t>Game 1</t>
  </si>
  <si>
    <t>Game 2</t>
  </si>
  <si>
    <t>Game 3</t>
  </si>
  <si>
    <t>Game 4</t>
  </si>
  <si>
    <t>Game 5</t>
  </si>
  <si>
    <t>Game 6</t>
  </si>
  <si>
    <t>Game 7</t>
  </si>
  <si>
    <t>Game 8</t>
  </si>
  <si>
    <t>Ans - these measures tells</t>
  </si>
  <si>
    <t>mean &amp; median - Player is consistent</t>
  </si>
  <si>
    <t>mode - there is no fixed pattern</t>
  </si>
  <si>
    <t>Range - Difference between low points and high points</t>
  </si>
  <si>
    <t>Standard Deviation - Here  standard deviation is low and it tells performance is stable and reliable</t>
  </si>
</sst>
</file>

<file path=xl/styles.xml><?xml version="1.0" encoding="utf-8"?>
<styleSheet xmlns="http://schemas.openxmlformats.org/spreadsheetml/2006/main">
  <numFmts count="1">
    <numFmt numFmtId="6" formatCode="&quot;$&quot;#,##0_);[Red]\(&quot;$&quot;#,##0\)"/>
  </numFmts>
  <fonts count="3">
    <font>
      <sz val="11"/>
      <color theme="1"/>
      <name val="Calibri"/>
      <family val="2"/>
      <scheme val="minor"/>
    </font>
    <font>
      <sz val="11"/>
      <color rgb="FFFF0000"/>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0" fillId="0" borderId="0" xfId="0" applyAlignment="1">
      <alignment horizontal="center"/>
    </xf>
    <xf numFmtId="0" fontId="2" fillId="0" borderId="0" xfId="0" applyFont="1" applyAlignment="1">
      <alignment horizontal="center"/>
    </xf>
    <xf numFmtId="0" fontId="0" fillId="0" borderId="0" xfId="0" applyAlignment="1">
      <alignment horizontal="left" vertical="top"/>
    </xf>
    <xf numFmtId="0" fontId="0" fillId="0" borderId="0" xfId="0" applyAlignment="1">
      <alignment horizontal="left" vertical="top" wrapText="1"/>
    </xf>
    <xf numFmtId="0" fontId="2" fillId="0" borderId="0" xfId="0" applyFont="1"/>
    <xf numFmtId="6" fontId="0" fillId="0" borderId="0" xfId="0" applyNumberFormat="1"/>
    <xf numFmtId="0" fontId="0" fillId="0" borderId="0" xfId="0" applyAlignment="1">
      <alignment wrapText="1"/>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H16"/>
  <sheetViews>
    <sheetView workbookViewId="0">
      <selection activeCell="A6" sqref="A6"/>
    </sheetView>
  </sheetViews>
  <sheetFormatPr defaultRowHeight="15"/>
  <cols>
    <col min="1" max="1" width="84" customWidth="1"/>
    <col min="5" max="5" width="18.5703125" customWidth="1"/>
  </cols>
  <sheetData>
    <row r="1" spans="1:8" ht="22.5" customHeight="1">
      <c r="A1" t="s">
        <v>41</v>
      </c>
    </row>
    <row r="2" spans="1:8" ht="39" customHeight="1">
      <c r="A2" s="5" t="s">
        <v>42</v>
      </c>
    </row>
    <row r="3" spans="1:8" ht="54" customHeight="1">
      <c r="A3" s="5" t="s">
        <v>53</v>
      </c>
      <c r="C3" s="10"/>
    </row>
    <row r="4" spans="1:8" ht="31.5">
      <c r="D4" s="10" t="s">
        <v>43</v>
      </c>
      <c r="E4" s="9" t="s">
        <v>52</v>
      </c>
      <c r="F4" s="10" t="s">
        <v>44</v>
      </c>
      <c r="G4" s="10" t="s">
        <v>19</v>
      </c>
      <c r="H4" s="10" t="s">
        <v>14</v>
      </c>
    </row>
    <row r="5" spans="1:8">
      <c r="D5" s="2" t="s">
        <v>45</v>
      </c>
      <c r="E5" s="2">
        <v>10</v>
      </c>
      <c r="F5" s="2">
        <f>AVERAGE(E5:E11)</f>
        <v>12.428571428571429</v>
      </c>
      <c r="G5" s="2">
        <f>MEDIAN(E5:E11)</f>
        <v>12</v>
      </c>
      <c r="H5" s="2">
        <f>MODE(E5:E11)</f>
        <v>12</v>
      </c>
    </row>
    <row r="6" spans="1:8">
      <c r="D6" s="2" t="s">
        <v>46</v>
      </c>
      <c r="E6" s="2">
        <v>12</v>
      </c>
      <c r="F6" s="2"/>
      <c r="G6" s="2"/>
      <c r="H6" s="2"/>
    </row>
    <row r="7" spans="1:8">
      <c r="D7" s="2" t="s">
        <v>47</v>
      </c>
      <c r="E7" s="2">
        <v>11</v>
      </c>
      <c r="F7" s="2"/>
      <c r="G7" s="2"/>
      <c r="H7" s="2"/>
    </row>
    <row r="8" spans="1:8">
      <c r="D8" s="2" t="s">
        <v>48</v>
      </c>
      <c r="E8" s="2">
        <v>15</v>
      </c>
      <c r="F8" s="2"/>
      <c r="G8" s="2"/>
      <c r="H8" s="2"/>
    </row>
    <row r="9" spans="1:8">
      <c r="D9" s="2" t="s">
        <v>49</v>
      </c>
      <c r="E9" s="2">
        <v>14</v>
      </c>
      <c r="F9" s="2"/>
      <c r="G9" s="2"/>
      <c r="H9" s="2"/>
    </row>
    <row r="10" spans="1:8">
      <c r="D10" s="2" t="s">
        <v>50</v>
      </c>
      <c r="E10" s="2">
        <v>13</v>
      </c>
      <c r="F10" s="2"/>
      <c r="G10" s="2"/>
      <c r="H10" s="2"/>
    </row>
    <row r="11" spans="1:8">
      <c r="D11" s="2" t="s">
        <v>51</v>
      </c>
      <c r="E11" s="2">
        <v>12</v>
      </c>
      <c r="F11" s="2"/>
      <c r="G11" s="2"/>
      <c r="H11" s="2"/>
    </row>
    <row r="12" spans="1:8">
      <c r="D12" s="2"/>
      <c r="E12" s="2"/>
      <c r="F12" s="2"/>
      <c r="G12" s="2"/>
      <c r="H12" s="2"/>
    </row>
    <row r="13" spans="1:8">
      <c r="D13" s="2"/>
      <c r="E13" s="2"/>
      <c r="F13" s="2"/>
      <c r="G13" s="2"/>
      <c r="H13" s="2"/>
    </row>
    <row r="14" spans="1:8">
      <c r="D14" s="2"/>
      <c r="E14" s="2"/>
      <c r="F14" s="2"/>
      <c r="G14" s="2"/>
      <c r="H14" s="2"/>
    </row>
    <row r="15" spans="1:8">
      <c r="D15" s="2"/>
      <c r="E15" s="2"/>
      <c r="F15" s="2"/>
      <c r="G15" s="2"/>
      <c r="H15" s="2"/>
    </row>
    <row r="16" spans="1:8">
      <c r="D16" s="2"/>
      <c r="E16" s="2"/>
      <c r="F16" s="2"/>
      <c r="G16" s="2"/>
      <c r="H16"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G13"/>
  <sheetViews>
    <sheetView workbookViewId="0">
      <selection activeCell="A3" sqref="A3:XFD3"/>
    </sheetView>
  </sheetViews>
  <sheetFormatPr defaultRowHeight="15"/>
  <cols>
    <col min="1" max="1" width="79.140625" customWidth="1"/>
    <col min="4" max="4" width="14.42578125" customWidth="1"/>
    <col min="6" max="6" width="11.7109375" customWidth="1"/>
  </cols>
  <sheetData>
    <row r="1" spans="1:7">
      <c r="A1" t="s">
        <v>0</v>
      </c>
    </row>
    <row r="2" spans="1:7" ht="45">
      <c r="A2" s="1" t="s">
        <v>1</v>
      </c>
    </row>
    <row r="3" spans="1:7" ht="51.75" customHeight="1">
      <c r="A3" s="1" t="s">
        <v>54</v>
      </c>
      <c r="G3" s="3"/>
    </row>
    <row r="4" spans="1:7" ht="15.75">
      <c r="D4" s="3" t="s">
        <v>2</v>
      </c>
      <c r="E4" s="3" t="s">
        <v>3</v>
      </c>
      <c r="F4" s="3" t="s">
        <v>11</v>
      </c>
    </row>
    <row r="5" spans="1:7">
      <c r="D5" s="2" t="s">
        <v>4</v>
      </c>
      <c r="E5" s="2">
        <v>12</v>
      </c>
      <c r="F5">
        <f>AVERAGE(E5:E11)</f>
        <v>16.285714285714285</v>
      </c>
    </row>
    <row r="6" spans="1:7">
      <c r="D6" s="2" t="s">
        <v>5</v>
      </c>
      <c r="E6" s="2">
        <v>15</v>
      </c>
    </row>
    <row r="7" spans="1:7">
      <c r="D7" s="2" t="s">
        <v>6</v>
      </c>
      <c r="E7" s="2">
        <v>14</v>
      </c>
    </row>
    <row r="8" spans="1:7">
      <c r="D8" s="2" t="s">
        <v>7</v>
      </c>
      <c r="E8" s="2">
        <v>16</v>
      </c>
    </row>
    <row r="9" spans="1:7">
      <c r="D9" s="2" t="s">
        <v>8</v>
      </c>
      <c r="E9" s="2">
        <v>18</v>
      </c>
    </row>
    <row r="10" spans="1:7">
      <c r="D10" s="2" t="s">
        <v>9</v>
      </c>
      <c r="E10" s="2">
        <v>20</v>
      </c>
    </row>
    <row r="11" spans="1:7">
      <c r="D11" s="2" t="s">
        <v>10</v>
      </c>
      <c r="E11" s="2">
        <v>19</v>
      </c>
    </row>
    <row r="12" spans="1:7">
      <c r="E12" s="2"/>
    </row>
    <row r="13" spans="1:7">
      <c r="E13" s="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G17"/>
  <sheetViews>
    <sheetView workbookViewId="0">
      <selection activeCell="A3" sqref="A3:XFD3"/>
    </sheetView>
  </sheetViews>
  <sheetFormatPr defaultRowHeight="15"/>
  <cols>
    <col min="1" max="1" width="80" customWidth="1"/>
  </cols>
  <sheetData>
    <row r="1" spans="1:7" ht="18.75" customHeight="1">
      <c r="A1" s="4" t="s">
        <v>12</v>
      </c>
    </row>
    <row r="2" spans="1:7" ht="37.5" customHeight="1">
      <c r="A2" s="5" t="s">
        <v>13</v>
      </c>
    </row>
    <row r="3" spans="1:7" ht="49.5" customHeight="1">
      <c r="A3" s="1" t="s">
        <v>56</v>
      </c>
      <c r="G3" s="3"/>
    </row>
    <row r="4" spans="1:7" ht="15.75">
      <c r="D4" s="6"/>
      <c r="E4" s="3" t="s">
        <v>55</v>
      </c>
      <c r="F4" s="3" t="s">
        <v>14</v>
      </c>
      <c r="G4" s="2"/>
    </row>
    <row r="5" spans="1:7">
      <c r="E5" s="2">
        <v>7</v>
      </c>
      <c r="F5" s="2">
        <f>MODE(E5:E12)</f>
        <v>8</v>
      </c>
      <c r="G5" s="2"/>
    </row>
    <row r="6" spans="1:7">
      <c r="E6" s="2">
        <v>8</v>
      </c>
      <c r="F6" s="2"/>
      <c r="G6" s="2"/>
    </row>
    <row r="7" spans="1:7">
      <c r="E7" s="2">
        <v>9</v>
      </c>
      <c r="F7" s="2"/>
      <c r="G7" s="2"/>
    </row>
    <row r="8" spans="1:7">
      <c r="E8" s="2">
        <v>8</v>
      </c>
      <c r="F8" s="2"/>
      <c r="G8" s="2"/>
    </row>
    <row r="9" spans="1:7">
      <c r="E9" s="2">
        <v>8</v>
      </c>
      <c r="F9" s="2"/>
      <c r="G9" s="2"/>
    </row>
    <row r="10" spans="1:7">
      <c r="E10" s="2">
        <v>10</v>
      </c>
      <c r="F10" s="2"/>
      <c r="G10" s="2"/>
    </row>
    <row r="11" spans="1:7">
      <c r="E11" s="2">
        <v>7</v>
      </c>
      <c r="F11" s="2"/>
      <c r="G11" s="2"/>
    </row>
    <row r="12" spans="1:7">
      <c r="E12" s="2">
        <v>9</v>
      </c>
      <c r="F12" s="2"/>
      <c r="G12" s="2"/>
    </row>
    <row r="13" spans="1:7">
      <c r="E13" s="2"/>
      <c r="F13" s="2"/>
      <c r="G13" s="2"/>
    </row>
    <row r="14" spans="1:7">
      <c r="E14" s="2"/>
      <c r="F14" s="2"/>
      <c r="G14" s="2"/>
    </row>
    <row r="15" spans="1:7">
      <c r="E15" s="2"/>
      <c r="F15" s="2"/>
      <c r="G15" s="2"/>
    </row>
    <row r="16" spans="1:7">
      <c r="E16" s="2"/>
      <c r="F16" s="2"/>
      <c r="G16" s="2"/>
    </row>
    <row r="17" spans="5:7">
      <c r="E17" s="2"/>
      <c r="F17" s="2"/>
      <c r="G1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0"/>
  <sheetViews>
    <sheetView workbookViewId="0">
      <selection activeCell="F14" sqref="F14"/>
    </sheetView>
  </sheetViews>
  <sheetFormatPr defaultRowHeight="15"/>
  <cols>
    <col min="1" max="1" width="80.42578125" customWidth="1"/>
    <col min="6" max="6" width="9.140625" customWidth="1"/>
  </cols>
  <sheetData>
    <row r="1" spans="1:7" ht="16.5" customHeight="1">
      <c r="A1" t="s">
        <v>15</v>
      </c>
    </row>
    <row r="2" spans="1:7" ht="41.25" customHeight="1">
      <c r="A2" s="5" t="s">
        <v>16</v>
      </c>
    </row>
    <row r="3" spans="1:7" ht="48.75" customHeight="1">
      <c r="A3" s="1" t="s">
        <v>58</v>
      </c>
    </row>
    <row r="4" spans="1:7" ht="41.25" customHeight="1">
      <c r="A4" s="8" t="s">
        <v>59</v>
      </c>
      <c r="C4" s="2"/>
    </row>
    <row r="5" spans="1:7" ht="15.75">
      <c r="C5" s="2"/>
      <c r="D5" s="3" t="s">
        <v>17</v>
      </c>
      <c r="E5" s="3" t="s">
        <v>18</v>
      </c>
      <c r="F5" s="3" t="s">
        <v>44</v>
      </c>
      <c r="G5" s="3" t="s">
        <v>19</v>
      </c>
    </row>
    <row r="6" spans="1:7">
      <c r="C6" s="2"/>
      <c r="D6" s="2" t="s">
        <v>20</v>
      </c>
      <c r="E6" s="7">
        <v>8000</v>
      </c>
      <c r="F6" s="7">
        <f>AVERAGE(E6:E10)</f>
        <v>17740</v>
      </c>
      <c r="G6" s="7">
        <f>MEDIAN(E6:E10)</f>
        <v>10200</v>
      </c>
    </row>
    <row r="7" spans="1:7">
      <c r="C7" s="2"/>
      <c r="D7" s="2" t="s">
        <v>21</v>
      </c>
      <c r="E7" s="7">
        <v>9500</v>
      </c>
    </row>
    <row r="8" spans="1:7">
      <c r="C8" s="2"/>
      <c r="D8" s="2" t="s">
        <v>22</v>
      </c>
      <c r="E8" s="7">
        <v>10200</v>
      </c>
    </row>
    <row r="9" spans="1:7">
      <c r="D9" s="2" t="s">
        <v>23</v>
      </c>
      <c r="E9" s="7">
        <v>11000</v>
      </c>
    </row>
    <row r="10" spans="1:7">
      <c r="D10" s="2" t="s">
        <v>24</v>
      </c>
      <c r="E10" s="7">
        <v>50000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F12"/>
  <sheetViews>
    <sheetView workbookViewId="0">
      <selection activeCell="A13" sqref="A13"/>
    </sheetView>
  </sheetViews>
  <sheetFormatPr defaultRowHeight="15"/>
  <cols>
    <col min="1" max="1" width="81.42578125" customWidth="1"/>
    <col min="4" max="4" width="15.7109375" customWidth="1"/>
  </cols>
  <sheetData>
    <row r="1" spans="1:6" ht="24" customHeight="1">
      <c r="A1" t="s">
        <v>25</v>
      </c>
    </row>
    <row r="2" spans="1:6" ht="36" customHeight="1">
      <c r="A2" s="5" t="s">
        <v>26</v>
      </c>
    </row>
    <row r="3" spans="1:6" ht="71.25" customHeight="1">
      <c r="A3" s="1" t="s">
        <v>65</v>
      </c>
    </row>
    <row r="4" spans="1:6" ht="30">
      <c r="A4" s="8" t="s">
        <v>66</v>
      </c>
      <c r="C4" s="2"/>
    </row>
    <row r="5" spans="1:6" ht="15.75">
      <c r="C5" s="2"/>
      <c r="D5" s="3" t="s">
        <v>43</v>
      </c>
      <c r="E5" s="3" t="s">
        <v>27</v>
      </c>
      <c r="F5" s="3" t="s">
        <v>37</v>
      </c>
    </row>
    <row r="6" spans="1:6">
      <c r="C6" s="2"/>
      <c r="D6" s="2" t="s">
        <v>60</v>
      </c>
      <c r="E6" s="2">
        <v>25</v>
      </c>
      <c r="F6" s="2">
        <f>E10-E6</f>
        <v>15</v>
      </c>
    </row>
    <row r="7" spans="1:6">
      <c r="C7" s="2"/>
      <c r="D7" s="2" t="s">
        <v>61</v>
      </c>
      <c r="E7" s="2">
        <v>30</v>
      </c>
    </row>
    <row r="8" spans="1:6">
      <c r="C8" s="2"/>
      <c r="D8" s="2" t="s">
        <v>62</v>
      </c>
      <c r="E8" s="2">
        <v>27</v>
      </c>
    </row>
    <row r="9" spans="1:6">
      <c r="C9" s="2"/>
      <c r="D9" s="2" t="s">
        <v>63</v>
      </c>
      <c r="E9" s="2">
        <v>35</v>
      </c>
    </row>
    <row r="10" spans="1:6">
      <c r="C10" s="2"/>
      <c r="D10" s="2" t="s">
        <v>64</v>
      </c>
      <c r="E10" s="2">
        <v>40</v>
      </c>
    </row>
    <row r="11" spans="1:6">
      <c r="C11" s="2"/>
      <c r="D11" s="2"/>
      <c r="E11" s="2"/>
    </row>
    <row r="12" spans="1:6">
      <c r="C12" s="2"/>
      <c r="D12" s="2"/>
      <c r="E12"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4"/>
  <sheetViews>
    <sheetView workbookViewId="0">
      <selection activeCell="F9" sqref="F9"/>
    </sheetView>
  </sheetViews>
  <sheetFormatPr defaultRowHeight="15"/>
  <cols>
    <col min="1" max="1" width="80.42578125" customWidth="1"/>
    <col min="5" max="5" width="13.85546875" customWidth="1"/>
  </cols>
  <sheetData>
    <row r="1" spans="1:6">
      <c r="A1" t="s">
        <v>28</v>
      </c>
    </row>
    <row r="2" spans="1:6" ht="39.75" customHeight="1">
      <c r="A2" s="5" t="s">
        <v>29</v>
      </c>
    </row>
    <row r="3" spans="1:6">
      <c r="A3" t="s">
        <v>38</v>
      </c>
    </row>
    <row r="4" spans="1:6">
      <c r="A4" t="s">
        <v>69</v>
      </c>
      <c r="C4" s="2"/>
    </row>
    <row r="5" spans="1:6" ht="57" customHeight="1">
      <c r="A5" s="1" t="s">
        <v>68</v>
      </c>
      <c r="C5" s="2"/>
    </row>
    <row r="6" spans="1:6" ht="30">
      <c r="A6" s="8" t="s">
        <v>67</v>
      </c>
      <c r="C6" s="2"/>
    </row>
    <row r="7" spans="1:6" ht="15.75">
      <c r="C7" s="2"/>
      <c r="D7" s="3" t="s">
        <v>30</v>
      </c>
      <c r="E7" s="3" t="s">
        <v>31</v>
      </c>
      <c r="F7" s="3" t="s">
        <v>37</v>
      </c>
    </row>
    <row r="8" spans="1:6">
      <c r="C8" s="2"/>
      <c r="D8" s="2" t="s">
        <v>32</v>
      </c>
      <c r="E8" s="2">
        <v>100</v>
      </c>
      <c r="F8" s="2">
        <f>MAX(E8:E12)-MIN(E8:E12)</f>
        <v>22</v>
      </c>
    </row>
    <row r="9" spans="1:6">
      <c r="C9" s="2"/>
      <c r="D9" s="2" t="s">
        <v>33</v>
      </c>
      <c r="E9" s="2">
        <v>105</v>
      </c>
      <c r="F9" s="2"/>
    </row>
    <row r="10" spans="1:6">
      <c r="C10" s="2"/>
      <c r="D10" s="2" t="s">
        <v>34</v>
      </c>
      <c r="E10" s="2">
        <v>98</v>
      </c>
      <c r="F10" s="2"/>
    </row>
    <row r="11" spans="1:6">
      <c r="C11" s="2"/>
      <c r="D11" s="2" t="s">
        <v>35</v>
      </c>
      <c r="E11" s="2">
        <v>110</v>
      </c>
      <c r="F11" s="2"/>
    </row>
    <row r="12" spans="1:6">
      <c r="C12" s="2"/>
      <c r="D12" s="2" t="s">
        <v>36</v>
      </c>
      <c r="E12" s="2">
        <v>120</v>
      </c>
      <c r="F12" s="2"/>
    </row>
    <row r="13" spans="1:6">
      <c r="C13" s="2"/>
      <c r="D13" s="2"/>
      <c r="E13" s="2"/>
      <c r="F13" s="2"/>
    </row>
    <row r="14" spans="1:6">
      <c r="C14" s="2"/>
      <c r="D14" s="2"/>
      <c r="E14"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3"/>
  <sheetViews>
    <sheetView workbookViewId="0">
      <selection activeCell="A3" sqref="A3"/>
    </sheetView>
  </sheetViews>
  <sheetFormatPr defaultRowHeight="15"/>
  <cols>
    <col min="1" max="1" width="80.7109375" customWidth="1"/>
  </cols>
  <sheetData>
    <row r="1" spans="1:1" ht="21" customHeight="1">
      <c r="A1" t="s">
        <v>39</v>
      </c>
    </row>
    <row r="2" spans="1:1" ht="90">
      <c r="A2" s="8" t="s">
        <v>40</v>
      </c>
    </row>
    <row r="3" spans="1:1" ht="142.5" customHeight="1">
      <c r="A3" s="1" t="s">
        <v>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5"/>
  <sheetViews>
    <sheetView workbookViewId="0">
      <selection activeCell="A5" sqref="A5"/>
    </sheetView>
  </sheetViews>
  <sheetFormatPr defaultRowHeight="15"/>
  <cols>
    <col min="1" max="1" width="81.140625" customWidth="1"/>
  </cols>
  <sheetData>
    <row r="1" spans="1:1">
      <c r="A1" t="s">
        <v>70</v>
      </c>
    </row>
    <row r="2" spans="1:1" ht="96.75" customHeight="1">
      <c r="A2" s="1" t="s">
        <v>71</v>
      </c>
    </row>
    <row r="3" spans="1:1">
      <c r="A3" t="s">
        <v>72</v>
      </c>
    </row>
    <row r="4" spans="1:1" ht="51.75" customHeight="1">
      <c r="A4" s="1" t="s">
        <v>73</v>
      </c>
    </row>
    <row r="5" spans="1:1" ht="30">
      <c r="A5" s="8" t="s">
        <v>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0"/>
  <sheetViews>
    <sheetView workbookViewId="0">
      <selection activeCell="A18" sqref="A18"/>
    </sheetView>
  </sheetViews>
  <sheetFormatPr defaultRowHeight="15"/>
  <cols>
    <col min="1" max="1" width="73.140625" customWidth="1"/>
    <col min="5" max="5" width="16.85546875" customWidth="1"/>
    <col min="7" max="7" width="22.42578125" customWidth="1"/>
  </cols>
  <sheetData>
    <row r="1" spans="1:7" ht="21.75" customHeight="1">
      <c r="A1" t="s">
        <v>75</v>
      </c>
    </row>
    <row r="2" spans="1:7" ht="54" customHeight="1">
      <c r="A2" s="11" t="s">
        <v>76</v>
      </c>
    </row>
    <row r="3" spans="1:7">
      <c r="A3" t="s">
        <v>38</v>
      </c>
    </row>
    <row r="4" spans="1:7" ht="15.75">
      <c r="A4" t="s">
        <v>79</v>
      </c>
      <c r="C4" s="3"/>
      <c r="D4" s="3" t="s">
        <v>80</v>
      </c>
      <c r="E4" s="3" t="s">
        <v>77</v>
      </c>
      <c r="F4" s="3" t="s">
        <v>44</v>
      </c>
      <c r="G4" s="3" t="s">
        <v>78</v>
      </c>
    </row>
    <row r="5" spans="1:7">
      <c r="A5" t="s">
        <v>86</v>
      </c>
      <c r="C5" s="2"/>
      <c r="D5" s="2" t="s">
        <v>81</v>
      </c>
      <c r="E5" s="2">
        <v>400</v>
      </c>
      <c r="F5" s="2">
        <f>AVERAGE(E5:E9)</f>
        <v>414</v>
      </c>
      <c r="G5" s="2">
        <f>STDEV(E5:E9)</f>
        <v>23.021728866442675</v>
      </c>
    </row>
    <row r="6" spans="1:7" ht="33.75" customHeight="1">
      <c r="A6" s="8" t="s">
        <v>87</v>
      </c>
      <c r="C6" s="2"/>
      <c r="D6" s="2" t="s">
        <v>82</v>
      </c>
      <c r="E6" s="2">
        <v>420</v>
      </c>
      <c r="F6" s="2"/>
    </row>
    <row r="7" spans="1:7">
      <c r="C7" s="2"/>
      <c r="D7" s="2" t="s">
        <v>83</v>
      </c>
      <c r="E7" s="2">
        <v>390</v>
      </c>
      <c r="F7" s="2"/>
    </row>
    <row r="8" spans="1:7">
      <c r="C8" s="2"/>
      <c r="D8" s="2" t="s">
        <v>84</v>
      </c>
      <c r="E8" s="2">
        <v>450</v>
      </c>
      <c r="F8" s="2"/>
    </row>
    <row r="9" spans="1:7">
      <c r="C9" s="2"/>
      <c r="D9" s="2" t="s">
        <v>85</v>
      </c>
      <c r="E9" s="2">
        <v>410</v>
      </c>
      <c r="F9" s="2"/>
    </row>
    <row r="10" spans="1:7">
      <c r="C10" s="2"/>
      <c r="D10" s="2"/>
      <c r="E10" s="2"/>
      <c r="F1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5"/>
  <sheetViews>
    <sheetView tabSelected="1" workbookViewId="0">
      <selection activeCell="A15" sqref="A15"/>
    </sheetView>
  </sheetViews>
  <sheetFormatPr defaultRowHeight="15"/>
  <cols>
    <col min="1" max="1" width="81.28515625" customWidth="1"/>
    <col min="10" max="10" width="22" customWidth="1"/>
  </cols>
  <sheetData>
    <row r="1" spans="1:11">
      <c r="A1" t="s">
        <v>88</v>
      </c>
    </row>
    <row r="2" spans="1:11" ht="75">
      <c r="A2" s="1" t="s">
        <v>89</v>
      </c>
    </row>
    <row r="3" spans="1:11" ht="15.75">
      <c r="A3" t="s">
        <v>101</v>
      </c>
      <c r="D3" s="3" t="s">
        <v>90</v>
      </c>
      <c r="E3" s="3" t="s">
        <v>91</v>
      </c>
      <c r="F3" s="3" t="s">
        <v>44</v>
      </c>
      <c r="G3" s="3" t="s">
        <v>19</v>
      </c>
      <c r="H3" s="3" t="s">
        <v>14</v>
      </c>
      <c r="I3" s="3" t="s">
        <v>37</v>
      </c>
      <c r="J3" s="3" t="s">
        <v>92</v>
      </c>
      <c r="K3" s="3"/>
    </row>
    <row r="4" spans="1:11">
      <c r="A4" t="s">
        <v>102</v>
      </c>
      <c r="C4" s="2"/>
      <c r="D4" s="2" t="s">
        <v>93</v>
      </c>
      <c r="E4" s="2">
        <v>15</v>
      </c>
      <c r="F4" s="2">
        <f>AVERAGE(E4:E11)</f>
        <v>19.625</v>
      </c>
      <c r="G4" s="2">
        <f>MEDIAN(E4:E11)</f>
        <v>19.5</v>
      </c>
      <c r="H4" s="2" t="e">
        <f>MODE(E4:E11)</f>
        <v>#N/A</v>
      </c>
      <c r="I4" s="2">
        <f>MAX(E8-MIN(E4))</f>
        <v>10</v>
      </c>
      <c r="J4" s="2">
        <f>STDEV(E4:E11)</f>
        <v>3.1139088893910452</v>
      </c>
    </row>
    <row r="5" spans="1:11">
      <c r="A5" t="s">
        <v>103</v>
      </c>
      <c r="C5" s="2"/>
      <c r="D5" s="2" t="s">
        <v>94</v>
      </c>
      <c r="E5" s="2">
        <v>18</v>
      </c>
      <c r="F5" s="2"/>
      <c r="G5" s="2"/>
      <c r="H5" s="2"/>
      <c r="I5" s="2"/>
      <c r="J5" s="2"/>
    </row>
    <row r="6" spans="1:11">
      <c r="A6" t="s">
        <v>104</v>
      </c>
      <c r="C6" s="2"/>
      <c r="D6" s="2" t="s">
        <v>95</v>
      </c>
      <c r="E6" s="2">
        <v>20</v>
      </c>
      <c r="F6" s="2"/>
      <c r="G6" s="2"/>
      <c r="H6" s="2"/>
      <c r="I6" s="2"/>
      <c r="J6" s="2"/>
    </row>
    <row r="7" spans="1:11" ht="30">
      <c r="A7" s="8" t="s">
        <v>105</v>
      </c>
      <c r="C7" s="2"/>
      <c r="D7" s="2" t="s">
        <v>96</v>
      </c>
      <c r="E7" s="2">
        <v>22</v>
      </c>
      <c r="F7" s="2"/>
      <c r="G7" s="2"/>
      <c r="H7" s="2"/>
      <c r="I7" s="2"/>
      <c r="J7" s="2"/>
    </row>
    <row r="8" spans="1:11">
      <c r="C8" s="2"/>
      <c r="D8" s="2" t="s">
        <v>97</v>
      </c>
      <c r="E8" s="2">
        <v>25</v>
      </c>
      <c r="F8" s="2"/>
      <c r="G8" s="2"/>
      <c r="H8" s="2"/>
      <c r="I8" s="2"/>
      <c r="J8" s="2"/>
    </row>
    <row r="9" spans="1:11">
      <c r="C9" s="2"/>
      <c r="D9" s="2" t="s">
        <v>98</v>
      </c>
      <c r="E9" s="2">
        <v>17</v>
      </c>
      <c r="F9" s="2"/>
      <c r="G9" s="2"/>
      <c r="H9" s="2"/>
      <c r="I9" s="2"/>
      <c r="J9" s="2"/>
    </row>
    <row r="10" spans="1:11">
      <c r="C10" s="2"/>
      <c r="D10" s="2" t="s">
        <v>99</v>
      </c>
      <c r="E10" s="2">
        <v>19</v>
      </c>
      <c r="F10" s="2"/>
      <c r="G10" s="2"/>
      <c r="H10" s="2"/>
      <c r="I10" s="2"/>
      <c r="J10" s="2"/>
    </row>
    <row r="11" spans="1:11">
      <c r="C11" s="2"/>
      <c r="D11" s="2" t="s">
        <v>100</v>
      </c>
      <c r="E11" s="2">
        <v>21</v>
      </c>
      <c r="F11" s="2"/>
      <c r="G11" s="2"/>
      <c r="H11" s="2"/>
      <c r="I11" s="2"/>
      <c r="J11" s="2"/>
    </row>
    <row r="12" spans="1:11">
      <c r="C12" s="2"/>
      <c r="D12" s="2"/>
      <c r="E12" s="2"/>
      <c r="F12" s="2"/>
      <c r="G12" s="2"/>
      <c r="H12" s="2"/>
      <c r="I12" s="2"/>
      <c r="J12" s="2"/>
    </row>
    <row r="13" spans="1:11">
      <c r="C13" s="2"/>
      <c r="D13" s="2"/>
      <c r="E13" s="2"/>
      <c r="F13" s="2"/>
      <c r="G13" s="2"/>
      <c r="H13" s="2"/>
      <c r="I13" s="2"/>
      <c r="J13" s="2"/>
    </row>
    <row r="14" spans="1:11">
      <c r="C14" s="2"/>
      <c r="D14" s="2"/>
      <c r="E14" s="2"/>
      <c r="F14" s="2"/>
      <c r="G14" s="2"/>
      <c r="H14" s="2"/>
      <c r="I14" s="2"/>
      <c r="J14" s="2"/>
    </row>
    <row r="15" spans="1:11">
      <c r="C15" s="2"/>
      <c r="D15" s="2"/>
      <c r="E15" s="2"/>
      <c r="F15" s="2"/>
      <c r="G15" s="2"/>
      <c r="H15" s="2"/>
      <c r="I15" s="2"/>
      <c r="J1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2025-12-30T12:17:49Z</dcterms:modified>
</cp:coreProperties>
</file>