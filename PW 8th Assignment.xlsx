
<file path=[Content_Types].xml><?xml version="1.0" encoding="utf-8"?>
<Types xmlns="http://schemas.openxmlformats.org/package/2006/content-types"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4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</sheets>
  <calcPr calcId="124519"/>
</workbook>
</file>

<file path=xl/calcChain.xml><?xml version="1.0" encoding="utf-8"?>
<calcChain xmlns="http://schemas.openxmlformats.org/spreadsheetml/2006/main">
  <c r="E59" i="7"/>
  <c r="E58"/>
  <c r="D40"/>
  <c r="D37"/>
  <c r="D33"/>
  <c r="H10" i="4"/>
  <c r="H9"/>
  <c r="H8"/>
  <c r="H7"/>
  <c r="H6"/>
  <c r="G6"/>
  <c r="F6"/>
  <c r="E45" i="6"/>
  <c r="F39"/>
  <c r="F38"/>
  <c r="F37"/>
  <c r="F36"/>
  <c r="F35"/>
  <c r="F34"/>
  <c r="C105" i="2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  <c r="C7"/>
  <c r="C6"/>
  <c r="D11" i="3"/>
  <c r="D9"/>
  <c r="D7"/>
  <c r="D4" i="1" l="1"/>
</calcChain>
</file>

<file path=xl/sharedStrings.xml><?xml version="1.0" encoding="utf-8"?>
<sst xmlns="http://schemas.openxmlformats.org/spreadsheetml/2006/main" count="113" uniqueCount="107">
  <si>
    <t>Q1. Simulate 30 rolls with =RANDBETWEEN(1,6). What is the probability of rolling a 3 exactly 5 times? (Hint: Use BINOM.DIST) </t>
  </si>
  <si>
    <t>Ans - =BINOM.DIST(success,trials,probability,false)</t>
  </si>
  <si>
    <t>Here, Success = 5, Trials = 30, Probability of rolling a 3 = 1/6</t>
  </si>
  <si>
    <t xml:space="preserve">Q3. A dataset has a mean of 50 and a standard deviation of 5. What percentage of values lie between 45 and 55 if the data follows a normal distribution? 
</t>
  </si>
  <si>
    <t>Ans - Formula of "normal distribution" =NORM.DIST(x, mean, standard_dev, cumulative)       Here x = value you want to test = upper limit(55), lower limit(45)                                                          Mean = 50                                                                                                                                                                       Standard deviation = 5                                                                                                                                             TRUE (cumulative): Tells Excel to return the cumulative distribution function (the area under the curve to the left of the value)</t>
  </si>
  <si>
    <t xml:space="preserve">Normal distribution of upper limit = </t>
  </si>
  <si>
    <t xml:space="preserve">Normal distribution of lower limit = </t>
  </si>
  <si>
    <t xml:space="preserve"> percentage of values lie between 45 and 55 if the data follows a normal distribution = Normal distribution of upper limit - normal distribution of lower limit.</t>
  </si>
  <si>
    <t>percentage of values lie between 45 and 55 if the data follows a normal distribution = 0.682689 = 68%</t>
  </si>
  <si>
    <t xml:space="preserve">Q5. What is Kurtosis and their type? 
</t>
  </si>
  <si>
    <t>Ans - kurtosis is a measure used to describe the "tailedness" of a probability distribution. It quantifies how frequently outliers occur, indicating whether a distribution has heavy or light tails compared to a normal distribution</t>
  </si>
  <si>
    <t>There are 3 types of Kurtosis = Positive Kurtosis, Normal distribution, Negative Kurtosis</t>
  </si>
  <si>
    <t>Positive Kurtosis(Leptokurtic) = Higher probability of extreme values (outliers)</t>
  </si>
  <si>
    <t>Normal distribution(Platykurtic) = Similar to a standard normal distribution</t>
  </si>
  <si>
    <t>Negative Kurtosis(Mesokurtic) = Lower probability of outliers than a normal distribution</t>
  </si>
  <si>
    <t>Q7. Use Excel to compute the probability of getting at least 8 successes in 15 trials with success probability 0.5 </t>
  </si>
  <si>
    <t>Q8. How does log transformation help in stabilizing variance and making data more normally distributed?</t>
  </si>
  <si>
    <t>Ans - A log transformation in Excel is a mathematical technique where each data value is replaced by its logarithm (usually base-10 or natural log) using Excel’s LOG or LN functions.    It is used to stabilize variance, reduce skewness, and make data more normally distributed.</t>
  </si>
  <si>
    <t>Log transformation uses in stabilize variance :- Log transformation is used as a variance-stabilizing transformation when the variability of data increases proportionally with its magnitude (heteroscedasticity)</t>
  </si>
  <si>
    <t>Compression of High Values: By applying a logarithm, large values are compressed more than small ones. For example, the distance between 10 and 100 becomes the same as the distance between 100 and 1,000 on a log scale.                                                                                              
Reducing "Cone" Effects: In datasets where higher means lead to wider spreads (common in financial or biological data), the transformation "pulls in" the extreme values, making the variance more constant across the entire range</t>
  </si>
  <si>
    <r>
      <t xml:space="preserve">To compute the </t>
    </r>
    <r>
      <rPr>
        <b/>
        <sz val="11"/>
        <color theme="1"/>
        <rFont val="Calibri"/>
        <family val="2"/>
        <scheme val="minor"/>
      </rPr>
      <t>probability of getting at least 8 successes in 15 trials</t>
    </r>
    <r>
      <rPr>
        <sz val="11"/>
        <color theme="1"/>
        <rFont val="Calibri"/>
        <family val="2"/>
        <scheme val="minor"/>
      </rPr>
      <t xml:space="preserve"> when the </t>
    </r>
    <r>
      <rPr>
        <b/>
        <sz val="11"/>
        <color theme="1"/>
        <rFont val="Calibri"/>
        <family val="2"/>
        <scheme val="minor"/>
      </rPr>
      <t>probability of success = 0.5</t>
    </r>
    <r>
      <rPr>
        <sz val="11"/>
        <color theme="1"/>
        <rFont val="Calibri"/>
        <family val="2"/>
        <scheme val="minor"/>
      </rPr>
      <t xml:space="preserve">, we use the </t>
    </r>
    <r>
      <rPr>
        <b/>
        <sz val="11"/>
        <color theme="1"/>
        <rFont val="Calibri"/>
        <family val="2"/>
        <scheme val="minor"/>
      </rPr>
      <t>binomial distribution</t>
    </r>
    <r>
      <rPr>
        <sz val="11"/>
        <color theme="1"/>
        <rFont val="Calibri"/>
        <family val="2"/>
        <scheme val="minor"/>
      </rPr>
      <t xml:space="preserve">. Below is the </t>
    </r>
    <r>
      <rPr>
        <b/>
        <sz val="11"/>
        <color theme="1"/>
        <rFont val="Calibri"/>
        <family val="2"/>
        <scheme val="minor"/>
      </rPr>
      <t>step-by-step method in Excel</t>
    </r>
    <r>
      <rPr>
        <sz val="11"/>
        <color theme="1"/>
        <rFont val="Calibri"/>
        <family val="2"/>
        <scheme val="minor"/>
      </rPr>
      <t>.</t>
    </r>
  </si>
  <si>
    <t>• Excel Function to Use</t>
  </si>
  <si>
    <r>
      <t xml:space="preserve">Excel provides the </t>
    </r>
    <r>
      <rPr>
        <b/>
        <sz val="11"/>
        <color theme="1"/>
        <rFont val="Calibri"/>
        <family val="2"/>
        <scheme val="minor"/>
      </rPr>
      <t>BINOM.DIST</t>
    </r>
    <r>
      <rPr>
        <sz val="11"/>
        <color theme="1"/>
        <rFont val="Calibri"/>
        <family val="2"/>
        <scheme val="minor"/>
      </rPr>
      <t xml:space="preserve"> function.</t>
    </r>
  </si>
  <si>
    <t>we have to find the probability of getting at least 8 successes.</t>
  </si>
  <si>
    <t>Syntax:</t>
  </si>
  <si>
    <t>BINOM.DIST(number_s, trials, probability_s, cumulative)</t>
  </si>
  <si>
    <r>
      <t>number_s</t>
    </r>
    <r>
      <rPr>
        <sz val="11"/>
        <color theme="1"/>
        <rFont val="Calibri"/>
        <family val="2"/>
        <scheme val="minor"/>
      </rPr>
      <t xml:space="preserve"> → number of successes</t>
    </r>
  </si>
  <si>
    <r>
      <t>trials</t>
    </r>
    <r>
      <rPr>
        <sz val="11"/>
        <color theme="1"/>
        <rFont val="Calibri"/>
        <family val="2"/>
        <scheme val="minor"/>
      </rPr>
      <t xml:space="preserve"> → total trials</t>
    </r>
  </si>
  <si>
    <r>
      <t>probability_s</t>
    </r>
    <r>
      <rPr>
        <sz val="11"/>
        <color theme="1"/>
        <rFont val="Calibri"/>
        <family val="2"/>
        <scheme val="minor"/>
      </rPr>
      <t xml:space="preserve"> → probability of success</t>
    </r>
  </si>
  <si>
    <r>
      <t>cumulative</t>
    </r>
    <r>
      <rPr>
        <sz val="11"/>
        <color theme="1"/>
        <rFont val="Calibri"/>
        <family val="2"/>
        <scheme val="minor"/>
      </rPr>
      <t xml:space="preserve"> → TRUE (≤) or FALSE (exact)</t>
    </r>
  </si>
  <si>
    <t>• Step-by-Step in Excel</t>
  </si>
  <si>
    <t>Step 1: Enter values</t>
  </si>
  <si>
    <t>Trials</t>
  </si>
  <si>
    <t>Probability</t>
  </si>
  <si>
    <t>Step 2: Calculate P(X ≤ 7)</t>
  </si>
  <si>
    <t>=</t>
  </si>
  <si>
    <t>Step 3: Calculate P(X ≥ 8)</t>
  </si>
  <si>
    <t>OR directly:</t>
  </si>
  <si>
    <t>4️⃣ Final Answer</t>
  </si>
  <si>
    <r>
      <t xml:space="preserve">✅ The probability of getting </t>
    </r>
    <r>
      <rPr>
        <b/>
        <sz val="11"/>
        <color theme="1"/>
        <rFont val="Calibri"/>
        <family val="2"/>
        <scheme val="minor"/>
      </rPr>
      <t>at least 8 successes out of 15 trials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approximately 0.5 (50%)</t>
    </r>
    <r>
      <rPr>
        <sz val="11"/>
        <color theme="1"/>
        <rFont val="Calibri"/>
        <family val="2"/>
        <scheme val="minor"/>
      </rPr>
      <t>.</t>
    </r>
  </si>
  <si>
    <t>• Why This Makes Sense</t>
  </si>
  <si>
    <r>
      <t xml:space="preserve">The probability of success is </t>
    </r>
    <r>
      <rPr>
        <b/>
        <sz val="11"/>
        <color theme="1"/>
        <rFont val="Calibri"/>
        <family val="2"/>
        <scheme val="minor"/>
      </rPr>
      <t>0.5</t>
    </r>
  </si>
  <si>
    <r>
      <t xml:space="preserve">The distribution is </t>
    </r>
    <r>
      <rPr>
        <b/>
        <sz val="11"/>
        <color theme="1"/>
        <rFont val="Calibri"/>
        <family val="2"/>
        <scheme val="minor"/>
      </rPr>
      <t>symmetric</t>
    </r>
  </si>
  <si>
    <r>
      <t xml:space="preserve">The midpoint of 15 trials is </t>
    </r>
    <r>
      <rPr>
        <b/>
        <sz val="11"/>
        <color theme="1"/>
        <rFont val="Calibri"/>
        <family val="2"/>
        <scheme val="minor"/>
      </rPr>
      <t>7.5</t>
    </r>
  </si>
  <si>
    <r>
      <t xml:space="preserve">So, outcomes ≥ 8 have roughly </t>
    </r>
    <r>
      <rPr>
        <b/>
        <sz val="11"/>
        <color theme="1"/>
        <rFont val="Calibri"/>
        <family val="2"/>
        <scheme val="minor"/>
      </rPr>
      <t>half the probability mass</t>
    </r>
  </si>
  <si>
    <t>Step</t>
  </si>
  <si>
    <t>Excel Formula</t>
  </si>
  <si>
    <t>P(X ≤ 7)</t>
  </si>
  <si>
    <t>P(X ≥ 8)</t>
  </si>
  <si>
    <t xml:space="preserve">Ans - </t>
  </si>
  <si>
    <t>Q2. Generate 100 values in Excel using the continuous uniform distribution RAND() and plot a histogram. Describe the shape of the distribution</t>
  </si>
  <si>
    <t xml:space="preserve">Generate 100 values </t>
  </si>
  <si>
    <t>• Description of the Distribution Shape</t>
  </si>
  <si>
    <r>
      <t xml:space="preserve">The histogram is </t>
    </r>
    <r>
      <rPr>
        <b/>
        <sz val="11"/>
        <color theme="1"/>
        <rFont val="Calibri"/>
        <family val="2"/>
        <scheme val="minor"/>
      </rPr>
      <t>approximately flat (rectangular)</t>
    </r>
  </si>
  <si>
    <t>No peak, skewness, or clustering</t>
  </si>
  <si>
    <r>
      <t xml:space="preserve">All values between </t>
    </r>
    <r>
      <rPr>
        <b/>
        <sz val="11"/>
        <color theme="1"/>
        <rFont val="Calibri"/>
        <family val="2"/>
        <scheme val="minor"/>
      </rPr>
      <t>0 and 1</t>
    </r>
    <r>
      <rPr>
        <sz val="11"/>
        <color theme="1"/>
        <rFont val="Calibri"/>
        <family val="2"/>
        <scheme val="minor"/>
      </rPr>
      <t xml:space="preserve"> occur with </t>
    </r>
    <r>
      <rPr>
        <b/>
        <sz val="11"/>
        <color theme="1"/>
        <rFont val="Calibri"/>
        <family val="2"/>
        <scheme val="minor"/>
      </rPr>
      <t>roughly equal frequency</t>
    </r>
  </si>
  <si>
    <t>• Explanation (In Simple Words)</t>
  </si>
  <si>
    <r>
      <t>RAND()</t>
    </r>
    <r>
      <rPr>
        <sz val="11"/>
        <color theme="1"/>
        <rFont val="Calibri"/>
        <family val="2"/>
        <scheme val="minor"/>
      </rPr>
      <t xml:space="preserve"> generates numbers where </t>
    </r>
    <r>
      <rPr>
        <b/>
        <sz val="11"/>
        <color theme="1"/>
        <rFont val="Calibri"/>
        <family val="2"/>
        <scheme val="minor"/>
      </rPr>
      <t>every value between 0 and 1 has the same probability</t>
    </r>
  </si>
  <si>
    <t>Because of randomness, bars won’t be perfectly equal</t>
  </si>
  <si>
    <r>
      <t xml:space="preserve">As sample size increases (e.g., 1,000+ values), the histogram becomes </t>
    </r>
    <r>
      <rPr>
        <b/>
        <sz val="11"/>
        <color theme="1"/>
        <rFont val="Calibri"/>
        <family val="2"/>
        <scheme val="minor"/>
      </rPr>
      <t>more evenly flat</t>
    </r>
  </si>
  <si>
    <t>✅ Final Conclusion</t>
  </si>
  <si>
    <t>The histogram of values generated using RAND() shows an approximately flat, rectangular shape, indicating a continuous uniform distribution where all values between 0 and 1 are equally likely.</t>
  </si>
  <si>
    <t>Ans -</t>
  </si>
  <si>
    <t xml:space="preserve">Q6. Explain why the uniform distribution is a good model for the outcome of rolling a fair die. 
</t>
  </si>
  <si>
    <r>
      <t xml:space="preserve">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is appropriate when </t>
    </r>
    <r>
      <rPr>
        <b/>
        <sz val="11"/>
        <color theme="1"/>
        <rFont val="Calibri"/>
        <family val="2"/>
        <scheme val="minor"/>
      </rPr>
      <t>all possible outcomes have equal probability</t>
    </r>
    <r>
      <rPr>
        <sz val="11"/>
        <color theme="1"/>
        <rFont val="Calibri"/>
        <family val="2"/>
        <scheme val="minor"/>
      </rPr>
      <t xml:space="preserve">. This is exactly the case when rolling a </t>
    </r>
    <r>
      <rPr>
        <b/>
        <sz val="11"/>
        <color theme="1"/>
        <rFont val="Calibri"/>
        <family val="2"/>
        <scheme val="minor"/>
      </rPr>
      <t>fair die</t>
    </r>
    <r>
      <rPr>
        <sz val="11"/>
        <color theme="1"/>
        <rFont val="Calibri"/>
        <family val="2"/>
        <scheme val="minor"/>
      </rPr>
      <t>.</t>
    </r>
  </si>
  <si>
    <t>• Concept Explanation</t>
  </si>
  <si>
    <t>A fair die has six faces numbered 1 to 6.</t>
  </si>
  <si>
    <t>Because the die is fair:</t>
  </si>
  <si>
    <t>• Each face has the same chance of appearing</t>
  </si>
  <si>
    <t>• Probability of each outcome = 1/6</t>
  </si>
  <si>
    <t>• No outcome is favored over another</t>
  </si>
  <si>
    <t>This satisfies the definition of a discrete uniform distribution, where every outcome occurs with equal probability.</t>
  </si>
  <si>
    <t>Step 1: List Outcomes</t>
  </si>
  <si>
    <t>Die Face</t>
  </si>
  <si>
    <t>Step 2: Assign Equal Probability</t>
  </si>
  <si>
    <r>
      <t xml:space="preserve">All probabilities are equal → </t>
    </r>
    <r>
      <rPr>
        <b/>
        <sz val="11"/>
        <color theme="1"/>
        <rFont val="Calibri"/>
        <family val="2"/>
        <scheme val="minor"/>
      </rPr>
      <t>Uniform distribution</t>
    </r>
  </si>
  <si>
    <t>Step 3: Verify Probability Total</t>
  </si>
  <si>
    <r>
      <t xml:space="preserve">Result = </t>
    </r>
    <r>
      <rPr>
        <b/>
        <sz val="11"/>
        <color theme="1"/>
        <rFont val="Calibri"/>
        <family val="2"/>
        <scheme val="minor"/>
      </rPr>
      <t>1</t>
    </r>
  </si>
  <si>
    <t>✔ Confirms a valid probability distribution.</t>
  </si>
  <si>
    <r>
      <t xml:space="preserve">• Rolling a fair die is well modeled by a </t>
    </r>
    <r>
      <rPr>
        <b/>
        <sz val="11"/>
        <color theme="1"/>
        <rFont val="Calibri"/>
        <family val="2"/>
        <scheme val="minor"/>
      </rPr>
      <t>uniform distribution</t>
    </r>
    <r>
      <rPr>
        <sz val="11"/>
        <color theme="1"/>
        <rFont val="Calibri"/>
        <family val="2"/>
        <scheme val="minor"/>
      </rPr>
      <t xml:space="preserve"> because each of the six outcomes has an equal probability of 1/6. In Excel, assigning equal probabilities and visualizing them confirms that the distribution is uniform.</t>
    </r>
  </si>
  <si>
    <t>• A uniform distribution is suitable for a fair die because all six outcomes have equal probability. Using Excel, each face can be assigned a probability of 1/6, and the total probability equals 1, confirming a uniform distribution.</t>
  </si>
  <si>
    <t>Q4. What is the concept of standardization (z-score), and why is it important in data analysis? Explain the formula and how standardization transforms a dataset</t>
  </si>
  <si>
    <t>Value</t>
  </si>
  <si>
    <t>Mean</t>
  </si>
  <si>
    <t>Standard Deviation</t>
  </si>
  <si>
    <t>Z-Score</t>
  </si>
  <si>
    <r>
      <t xml:space="preserve">✅ </t>
    </r>
    <r>
      <rPr>
        <b/>
        <sz val="11"/>
        <color theme="1"/>
        <rFont val="Calibri"/>
        <family val="2"/>
        <scheme val="minor"/>
      </rPr>
      <t>Summary in Excel Terms:</t>
    </r>
  </si>
  <si>
    <t>1. Input your data in a column</t>
  </si>
  <si>
    <r>
      <t>2. Compute mean and standard deviation</t>
    </r>
    <r>
      <rPr>
        <sz val="11"/>
        <color theme="1"/>
        <rFont val="Calibri"/>
        <family val="2"/>
        <scheme val="minor"/>
      </rPr>
      <t xml:space="preserve"> using </t>
    </r>
    <r>
      <rPr>
        <sz val="10"/>
        <color theme="1"/>
        <rFont val="Arial Unicode MS"/>
      </rPr>
      <t>AVERAGE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STDEV.S</t>
    </r>
  </si>
  <si>
    <r>
      <t>3. Apply z-score formula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=(A2-Mean)/StdDev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STANDARDIZE(A2, Mean, StdDev)</t>
    </r>
  </si>
  <si>
    <r>
      <t>4. Drag down</t>
    </r>
    <r>
      <rPr>
        <sz val="11"/>
        <color theme="1"/>
        <rFont val="Calibri"/>
        <family val="2"/>
        <scheme val="minor"/>
      </rPr>
      <t xml:space="preserve"> to standardize the entire dataset</t>
    </r>
  </si>
  <si>
    <t>• Standardization (Z-Score) in Excel</t>
  </si>
  <si>
    <t>• Definition:</t>
  </si>
  <si>
    <t>In Excel, standardization is the process of transforming each value in a dataset into a z-score, which measures how far that value is from the mean of the dataset in terms of standard deviations.</t>
  </si>
  <si>
    <t>After standardization:</t>
  </si>
  <si>
    <t>Mean of the dataset = 0</t>
  </si>
  <si>
    <t>Standard deviation = 1</t>
  </si>
  <si>
    <t>Excel can calculate it using formulas or the built-in STANDARDIZE function.</t>
  </si>
  <si>
    <t>• Importance in Data Analysis:</t>
  </si>
  <si>
    <r>
      <rPr>
        <b/>
        <sz val="11"/>
        <color theme="1"/>
        <rFont val="Calibri"/>
        <family val="2"/>
        <scheme val="minor"/>
      </rPr>
      <t xml:space="preserve">1. Compare values on different scales: </t>
    </r>
    <r>
      <rPr>
        <sz val="11"/>
        <color theme="1"/>
        <rFont val="Calibri"/>
        <family val="2"/>
        <scheme val="minor"/>
      </rPr>
      <t>Standardization converts all data to the same scale, useful when combining multiple datasets.</t>
    </r>
  </si>
  <si>
    <r>
      <rPr>
        <b/>
        <sz val="11"/>
        <color theme="1"/>
        <rFont val="Calibri"/>
        <family val="2"/>
        <scheme val="minor"/>
      </rPr>
      <t>2. Prepares data for statistical analysis or machine learning:</t>
    </r>
    <r>
      <rPr>
        <sz val="11"/>
        <color theme="1"/>
        <rFont val="Calibri"/>
        <family val="2"/>
        <scheme val="minor"/>
      </rPr>
      <t xml:space="preserve"> Many Excel add-ins and models require standardized data.</t>
    </r>
  </si>
  <si>
    <r>
      <rPr>
        <b/>
        <sz val="11"/>
        <color theme="1"/>
        <rFont val="Calibri"/>
        <family val="2"/>
        <scheme val="minor"/>
      </rPr>
      <t xml:space="preserve">3. Detect outliers: </t>
    </r>
    <r>
      <rPr>
        <sz val="11"/>
        <color theme="1"/>
        <rFont val="Calibri"/>
        <family val="2"/>
        <scheme val="minor"/>
      </rPr>
      <t>Z-scores clearly show which values are unusually high or low.</t>
    </r>
  </si>
  <si>
    <t>• Summary</t>
  </si>
  <si>
    <t>Standardization converts data into z-scores</t>
  </si>
  <si>
    <t>Makes datasets comparable</t>
  </si>
  <si>
    <t>Mean becomes 0, SD becomes 1</t>
  </si>
  <si>
    <t>Very useful in analysis, exams, and Excel modeling</t>
  </si>
</sst>
</file>

<file path=xl/styles.xml><?xml version="1.0" encoding="utf-8"?>
<styleSheet xmlns="http://schemas.openxmlformats.org/spreadsheetml/2006/main">
  <numFmts count="1">
    <numFmt numFmtId="164" formatCode="0.0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0" xfId="0" applyFont="1"/>
    <xf numFmtId="0" fontId="0" fillId="4" borderId="0" xfId="0" applyFill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0" xfId="0" applyFill="1"/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61912</xdr:rowOff>
    </xdr:from>
    <xdr:to>
      <xdr:col>13</xdr:col>
      <xdr:colOff>295275</xdr:colOff>
      <xdr:row>18</xdr:row>
      <xdr:rowOff>128587</xdr:rowOff>
    </xdr:to>
    <xdr:sp macro="" textlink="">
      <xdr:nvSpPr>
        <xdr:cNvPr id="2" name="Rectangle 1"/>
        <xdr:cNvSpPr>
          <a:spLocks noTextEdit="1"/>
        </xdr:cNvSpPr>
      </xdr:nvSpPr>
      <xdr:spPr>
        <a:xfrm>
          <a:off x="4486275" y="1357312"/>
          <a:ext cx="457200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US" sz="1100"/>
            <a:t>This chart isn't available in your version of Excel.Editing this shape or saving this workbook into a different file format will permanently break the chart.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3</xdr:row>
      <xdr:rowOff>9525</xdr:rowOff>
    </xdr:from>
    <xdr:to>
      <xdr:col>10</xdr:col>
      <xdr:colOff>346409</xdr:colOff>
      <xdr:row>15</xdr:row>
      <xdr:rowOff>26035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12585CB5-5CE5-A971-D0DD-07E67217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028700"/>
          <a:ext cx="4604084" cy="2302510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47626</xdr:colOff>
      <xdr:row>42</xdr:row>
      <xdr:rowOff>9525</xdr:rowOff>
    </xdr:from>
    <xdr:to>
      <xdr:col>3</xdr:col>
      <xdr:colOff>1143001</xdr:colOff>
      <xdr:row>43</xdr:row>
      <xdr:rowOff>11246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B9AD3CEE-AB0E-D425-A092-836B199FB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4626" y="8534400"/>
          <a:ext cx="1276350" cy="1922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E8" sqref="E8"/>
    </sheetView>
  </sheetViews>
  <sheetFormatPr defaultRowHeight="15"/>
  <cols>
    <col min="1" max="1" width="81.42578125" customWidth="1"/>
  </cols>
  <sheetData>
    <row r="1" spans="1:4" ht="30">
      <c r="A1" s="1" t="s">
        <v>0</v>
      </c>
    </row>
    <row r="3" spans="1:4">
      <c r="A3" t="s">
        <v>1</v>
      </c>
    </row>
    <row r="4" spans="1:4">
      <c r="A4" t="s">
        <v>2</v>
      </c>
      <c r="D4">
        <f>BINOMDIST(5,30,1/6,FALSE)</f>
        <v>0.19210813105163452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5"/>
  <sheetViews>
    <sheetView workbookViewId="0">
      <selection activeCell="A4" sqref="A4"/>
    </sheetView>
  </sheetViews>
  <sheetFormatPr defaultRowHeight="15"/>
  <cols>
    <col min="1" max="1" width="81" customWidth="1"/>
  </cols>
  <sheetData>
    <row r="1" spans="1:3" ht="30">
      <c r="A1" s="2" t="s">
        <v>50</v>
      </c>
    </row>
    <row r="4" spans="1:3">
      <c r="A4" t="s">
        <v>62</v>
      </c>
      <c r="C4" s="13"/>
    </row>
    <row r="5" spans="1:3" ht="15.75">
      <c r="C5" s="9" t="s">
        <v>51</v>
      </c>
    </row>
    <row r="6" spans="1:3">
      <c r="C6" s="14">
        <f ca="1">RAND()</f>
        <v>0.44910619221504078</v>
      </c>
    </row>
    <row r="7" spans="1:3">
      <c r="C7" s="14">
        <f t="shared" ref="C7:C70" ca="1" si="0">RAND()</f>
        <v>0.62456445172428943</v>
      </c>
    </row>
    <row r="8" spans="1:3">
      <c r="C8" s="14">
        <f t="shared" ca="1" si="0"/>
        <v>0.97555778324080777</v>
      </c>
    </row>
    <row r="9" spans="1:3">
      <c r="C9" s="14">
        <f t="shared" ca="1" si="0"/>
        <v>0.54253479174408081</v>
      </c>
    </row>
    <row r="10" spans="1:3">
      <c r="C10" s="14">
        <f t="shared" ca="1" si="0"/>
        <v>0.28232174734299154</v>
      </c>
    </row>
    <row r="11" spans="1:3">
      <c r="C11" s="14">
        <f t="shared" ca="1" si="0"/>
        <v>0.64289614315232146</v>
      </c>
    </row>
    <row r="12" spans="1:3">
      <c r="C12" s="14">
        <f t="shared" ca="1" si="0"/>
        <v>0.99180533349917166</v>
      </c>
    </row>
    <row r="13" spans="1:3">
      <c r="C13" s="14">
        <f t="shared" ca="1" si="0"/>
        <v>0.45895857074466218</v>
      </c>
    </row>
    <row r="14" spans="1:3">
      <c r="C14" s="14">
        <f t="shared" ca="1" si="0"/>
        <v>0.80644009588283971</v>
      </c>
    </row>
    <row r="15" spans="1:3">
      <c r="C15" s="14">
        <f t="shared" ca="1" si="0"/>
        <v>0.37381092456295839</v>
      </c>
    </row>
    <row r="16" spans="1:3">
      <c r="C16" s="14">
        <f t="shared" ca="1" si="0"/>
        <v>0.70753919582483249</v>
      </c>
    </row>
    <row r="17" spans="3:7">
      <c r="C17" s="14">
        <f t="shared" ca="1" si="0"/>
        <v>0.1672408744782965</v>
      </c>
    </row>
    <row r="18" spans="3:7">
      <c r="C18" s="14">
        <f t="shared" ca="1" si="0"/>
        <v>0.21754711691560757</v>
      </c>
    </row>
    <row r="19" spans="3:7">
      <c r="C19" s="14">
        <f t="shared" ca="1" si="0"/>
        <v>0.83214125472034972</v>
      </c>
    </row>
    <row r="20" spans="3:7">
      <c r="C20" s="14">
        <f t="shared" ca="1" si="0"/>
        <v>0.4130723088757664</v>
      </c>
    </row>
    <row r="21" spans="3:7">
      <c r="C21" s="14">
        <f t="shared" ca="1" si="0"/>
        <v>0.15422055297508441</v>
      </c>
    </row>
    <row r="22" spans="3:7">
      <c r="C22" s="14">
        <f t="shared" ca="1" si="0"/>
        <v>0.66917281644809368</v>
      </c>
    </row>
    <row r="23" spans="3:7" ht="23.25">
      <c r="C23" s="14">
        <f t="shared" ca="1" si="0"/>
        <v>0.12028565211070141</v>
      </c>
      <c r="F23" s="15" t="s">
        <v>52</v>
      </c>
    </row>
    <row r="24" spans="3:7">
      <c r="C24" s="14">
        <f t="shared" ca="1" si="0"/>
        <v>0.12510833989385528</v>
      </c>
      <c r="G24" s="7"/>
    </row>
    <row r="25" spans="3:7">
      <c r="C25" s="14">
        <f t="shared" ca="1" si="0"/>
        <v>0.80414605528533945</v>
      </c>
      <c r="G25" s="7" t="s">
        <v>53</v>
      </c>
    </row>
    <row r="26" spans="3:7">
      <c r="C26" s="14">
        <f t="shared" ca="1" si="0"/>
        <v>0.22579240981301218</v>
      </c>
      <c r="G26" s="7"/>
    </row>
    <row r="27" spans="3:7">
      <c r="C27" s="14">
        <f t="shared" ca="1" si="0"/>
        <v>0.78695300656683642</v>
      </c>
      <c r="G27" s="7" t="s">
        <v>54</v>
      </c>
    </row>
    <row r="28" spans="3:7">
      <c r="C28" s="14">
        <f t="shared" ca="1" si="0"/>
        <v>0.49174012363409858</v>
      </c>
      <c r="G28" s="7"/>
    </row>
    <row r="29" spans="3:7">
      <c r="C29" s="14">
        <f t="shared" ca="1" si="0"/>
        <v>0.76807064564531657</v>
      </c>
      <c r="G29" s="7" t="s">
        <v>55</v>
      </c>
    </row>
    <row r="30" spans="3:7">
      <c r="C30" s="14">
        <f t="shared" ca="1" si="0"/>
        <v>4.8842999906950402E-2</v>
      </c>
    </row>
    <row r="31" spans="3:7" ht="23.25">
      <c r="C31" s="14">
        <f t="shared" ca="1" si="0"/>
        <v>0.99971292798920053</v>
      </c>
      <c r="F31" s="15" t="s">
        <v>56</v>
      </c>
    </row>
    <row r="32" spans="3:7">
      <c r="C32" s="14">
        <f t="shared" ca="1" si="0"/>
        <v>0.72650970523319547</v>
      </c>
      <c r="G32" s="7"/>
    </row>
    <row r="33" spans="3:7">
      <c r="C33" s="14">
        <f t="shared" ca="1" si="0"/>
        <v>0.37380144108629398</v>
      </c>
      <c r="G33" s="8" t="s">
        <v>57</v>
      </c>
    </row>
    <row r="34" spans="3:7">
      <c r="C34" s="14">
        <f t="shared" ca="1" si="0"/>
        <v>0.11089319279495813</v>
      </c>
      <c r="G34" s="7"/>
    </row>
    <row r="35" spans="3:7">
      <c r="C35" s="14">
        <f t="shared" ca="1" si="0"/>
        <v>0.92364906849586115</v>
      </c>
      <c r="G35" s="7" t="s">
        <v>58</v>
      </c>
    </row>
    <row r="36" spans="3:7">
      <c r="C36" s="14">
        <f t="shared" ca="1" si="0"/>
        <v>0.53093802285008174</v>
      </c>
      <c r="G36" s="7"/>
    </row>
    <row r="37" spans="3:7">
      <c r="C37" s="14">
        <f t="shared" ca="1" si="0"/>
        <v>0.67522253152875611</v>
      </c>
      <c r="G37" s="7" t="s">
        <v>59</v>
      </c>
    </row>
    <row r="38" spans="3:7">
      <c r="C38" s="14">
        <f t="shared" ca="1" si="0"/>
        <v>0.60820064444369337</v>
      </c>
    </row>
    <row r="39" spans="3:7" ht="18">
      <c r="C39" s="14">
        <f t="shared" ca="1" si="0"/>
        <v>0.86104464789157609</v>
      </c>
      <c r="F39" s="4" t="s">
        <v>60</v>
      </c>
    </row>
    <row r="40" spans="3:7">
      <c r="C40" s="14">
        <f t="shared" ca="1" si="0"/>
        <v>0.37470306797228403</v>
      </c>
      <c r="G40" s="7"/>
    </row>
    <row r="41" spans="3:7">
      <c r="C41" s="14">
        <f t="shared" ca="1" si="0"/>
        <v>0.92957216513491936</v>
      </c>
      <c r="G41" s="7" t="s">
        <v>61</v>
      </c>
    </row>
    <row r="42" spans="3:7">
      <c r="C42" s="14">
        <f t="shared" ca="1" si="0"/>
        <v>4.4399689788437335E-2</v>
      </c>
    </row>
    <row r="43" spans="3:7">
      <c r="C43" s="14">
        <f t="shared" ca="1" si="0"/>
        <v>9.8099297259270024E-2</v>
      </c>
    </row>
    <row r="44" spans="3:7">
      <c r="C44" s="14">
        <f t="shared" ca="1" si="0"/>
        <v>0.36000962109680135</v>
      </c>
    </row>
    <row r="45" spans="3:7">
      <c r="C45" s="14">
        <f t="shared" ca="1" si="0"/>
        <v>0.35588969381465319</v>
      </c>
    </row>
    <row r="46" spans="3:7">
      <c r="C46" s="14">
        <f t="shared" ca="1" si="0"/>
        <v>0.55764039872037796</v>
      </c>
    </row>
    <row r="47" spans="3:7">
      <c r="C47" s="14">
        <f t="shared" ca="1" si="0"/>
        <v>0.63700475254161448</v>
      </c>
    </row>
    <row r="48" spans="3:7">
      <c r="C48" s="14">
        <f t="shared" ca="1" si="0"/>
        <v>2.4737836751125286E-3</v>
      </c>
    </row>
    <row r="49" spans="3:3">
      <c r="C49" s="14">
        <f t="shared" ca="1" si="0"/>
        <v>0.36539332765763621</v>
      </c>
    </row>
    <row r="50" spans="3:3">
      <c r="C50" s="14">
        <f t="shared" ca="1" si="0"/>
        <v>0.39576465577056474</v>
      </c>
    </row>
    <row r="51" spans="3:3">
      <c r="C51" s="14">
        <f t="shared" ca="1" si="0"/>
        <v>0.46011794539637507</v>
      </c>
    </row>
    <row r="52" spans="3:3">
      <c r="C52" s="14">
        <f t="shared" ca="1" si="0"/>
        <v>0.34904349213711705</v>
      </c>
    </row>
    <row r="53" spans="3:3">
      <c r="C53" s="14">
        <f t="shared" ca="1" si="0"/>
        <v>0.89244805984844611</v>
      </c>
    </row>
    <row r="54" spans="3:3">
      <c r="C54" s="14">
        <f t="shared" ca="1" si="0"/>
        <v>0.54250943114146377</v>
      </c>
    </row>
    <row r="55" spans="3:3">
      <c r="C55" s="14">
        <f t="shared" ca="1" si="0"/>
        <v>2.9211592757582672E-2</v>
      </c>
    </row>
    <row r="56" spans="3:3">
      <c r="C56" s="14">
        <f t="shared" ca="1" si="0"/>
        <v>0.92429466721786913</v>
      </c>
    </row>
    <row r="57" spans="3:3">
      <c r="C57" s="14">
        <f t="shared" ca="1" si="0"/>
        <v>0.68051620709522975</v>
      </c>
    </row>
    <row r="58" spans="3:3">
      <c r="C58" s="14">
        <f t="shared" ca="1" si="0"/>
        <v>0.55825824431048687</v>
      </c>
    </row>
    <row r="59" spans="3:3">
      <c r="C59" s="14">
        <f t="shared" ca="1" si="0"/>
        <v>0.47345064050744989</v>
      </c>
    </row>
    <row r="60" spans="3:3">
      <c r="C60" s="14">
        <f t="shared" ca="1" si="0"/>
        <v>0.34406461367209507</v>
      </c>
    </row>
    <row r="61" spans="3:3">
      <c r="C61" s="14">
        <f t="shared" ca="1" si="0"/>
        <v>0.85050425812343988</v>
      </c>
    </row>
    <row r="62" spans="3:3">
      <c r="C62" s="14">
        <f t="shared" ca="1" si="0"/>
        <v>0.98238354725565658</v>
      </c>
    </row>
    <row r="63" spans="3:3">
      <c r="C63" s="14">
        <f t="shared" ca="1" si="0"/>
        <v>0.79196043919572312</v>
      </c>
    </row>
    <row r="64" spans="3:3">
      <c r="C64" s="14">
        <f t="shared" ca="1" si="0"/>
        <v>0.51423798515063268</v>
      </c>
    </row>
    <row r="65" spans="3:3">
      <c r="C65" s="14">
        <f t="shared" ca="1" si="0"/>
        <v>0.87021265430814965</v>
      </c>
    </row>
    <row r="66" spans="3:3">
      <c r="C66" s="14">
        <f t="shared" ca="1" si="0"/>
        <v>0.36197502060349418</v>
      </c>
    </row>
    <row r="67" spans="3:3">
      <c r="C67" s="14">
        <f t="shared" ca="1" si="0"/>
        <v>0.2191655091078859</v>
      </c>
    </row>
    <row r="68" spans="3:3">
      <c r="C68" s="14">
        <f t="shared" ca="1" si="0"/>
        <v>0.1752315407258056</v>
      </c>
    </row>
    <row r="69" spans="3:3">
      <c r="C69" s="14">
        <f t="shared" ca="1" si="0"/>
        <v>0.28798313140560605</v>
      </c>
    </row>
    <row r="70" spans="3:3">
      <c r="C70" s="14">
        <f t="shared" ca="1" si="0"/>
        <v>0.42273356718325417</v>
      </c>
    </row>
    <row r="71" spans="3:3">
      <c r="C71" s="14">
        <f t="shared" ref="C71:C105" ca="1" si="1">RAND()</f>
        <v>0.12004406505987841</v>
      </c>
    </row>
    <row r="72" spans="3:3">
      <c r="C72" s="14">
        <f t="shared" ca="1" si="1"/>
        <v>0.71984758160516105</v>
      </c>
    </row>
    <row r="73" spans="3:3">
      <c r="C73" s="14">
        <f t="shared" ca="1" si="1"/>
        <v>0.82970283401602529</v>
      </c>
    </row>
    <row r="74" spans="3:3">
      <c r="C74" s="14">
        <f t="shared" ca="1" si="1"/>
        <v>0.18693632483810951</v>
      </c>
    </row>
    <row r="75" spans="3:3">
      <c r="C75" s="14">
        <f t="shared" ca="1" si="1"/>
        <v>0.76931054680609989</v>
      </c>
    </row>
    <row r="76" spans="3:3">
      <c r="C76" s="14">
        <f t="shared" ca="1" si="1"/>
        <v>0.50098761318890683</v>
      </c>
    </row>
    <row r="77" spans="3:3">
      <c r="C77" s="14">
        <f t="shared" ca="1" si="1"/>
        <v>1.4681556063970369E-2</v>
      </c>
    </row>
    <row r="78" spans="3:3">
      <c r="C78" s="14">
        <f t="shared" ca="1" si="1"/>
        <v>0.31796682312084368</v>
      </c>
    </row>
    <row r="79" spans="3:3">
      <c r="C79" s="14">
        <f t="shared" ca="1" si="1"/>
        <v>0.47067908913106016</v>
      </c>
    </row>
    <row r="80" spans="3:3">
      <c r="C80" s="14">
        <f t="shared" ca="1" si="1"/>
        <v>0.24676752363214183</v>
      </c>
    </row>
    <row r="81" spans="3:3">
      <c r="C81" s="14">
        <f t="shared" ca="1" si="1"/>
        <v>0.48333895147330752</v>
      </c>
    </row>
    <row r="82" spans="3:3">
      <c r="C82" s="14">
        <f t="shared" ca="1" si="1"/>
        <v>0.92937540725992807</v>
      </c>
    </row>
    <row r="83" spans="3:3">
      <c r="C83" s="14">
        <f t="shared" ca="1" si="1"/>
        <v>0.18242263544213566</v>
      </c>
    </row>
    <row r="84" spans="3:3">
      <c r="C84" s="14">
        <f t="shared" ca="1" si="1"/>
        <v>0.80053739373103316</v>
      </c>
    </row>
    <row r="85" spans="3:3">
      <c r="C85" s="14">
        <f t="shared" ca="1" si="1"/>
        <v>0.44352049124507031</v>
      </c>
    </row>
    <row r="86" spans="3:3">
      <c r="C86" s="14">
        <f t="shared" ca="1" si="1"/>
        <v>0.13567196606222387</v>
      </c>
    </row>
    <row r="87" spans="3:3">
      <c r="C87" s="14">
        <f t="shared" ca="1" si="1"/>
        <v>0.78478892003996159</v>
      </c>
    </row>
    <row r="88" spans="3:3">
      <c r="C88" s="14">
        <f t="shared" ca="1" si="1"/>
        <v>0.56783462984348532</v>
      </c>
    </row>
    <row r="89" spans="3:3">
      <c r="C89" s="14">
        <f t="shared" ca="1" si="1"/>
        <v>0.35822718293404177</v>
      </c>
    </row>
    <row r="90" spans="3:3">
      <c r="C90" s="14">
        <f t="shared" ca="1" si="1"/>
        <v>0.51948440767498671</v>
      </c>
    </row>
    <row r="91" spans="3:3">
      <c r="C91" s="14">
        <f t="shared" ca="1" si="1"/>
        <v>0.35138802889007525</v>
      </c>
    </row>
    <row r="92" spans="3:3">
      <c r="C92" s="14">
        <f t="shared" ca="1" si="1"/>
        <v>0.76309436857978086</v>
      </c>
    </row>
    <row r="93" spans="3:3">
      <c r="C93" s="14">
        <f t="shared" ca="1" si="1"/>
        <v>0.15390945298767811</v>
      </c>
    </row>
    <row r="94" spans="3:3">
      <c r="C94" s="14">
        <f t="shared" ca="1" si="1"/>
        <v>0.10242405711548841</v>
      </c>
    </row>
    <row r="95" spans="3:3">
      <c r="C95" s="14">
        <f t="shared" ca="1" si="1"/>
        <v>0.93507658558065465</v>
      </c>
    </row>
    <row r="96" spans="3:3">
      <c r="C96" s="14">
        <f t="shared" ca="1" si="1"/>
        <v>0.72818974721241414</v>
      </c>
    </row>
    <row r="97" spans="3:3">
      <c r="C97" s="14">
        <f t="shared" ca="1" si="1"/>
        <v>0.57473682638670831</v>
      </c>
    </row>
    <row r="98" spans="3:3">
      <c r="C98" s="14">
        <f t="shared" ca="1" si="1"/>
        <v>0.32998477538558735</v>
      </c>
    </row>
    <row r="99" spans="3:3">
      <c r="C99" s="14">
        <f t="shared" ca="1" si="1"/>
        <v>0.95286907630340067</v>
      </c>
    </row>
    <row r="100" spans="3:3">
      <c r="C100" s="14">
        <f t="shared" ca="1" si="1"/>
        <v>0.51874104052033942</v>
      </c>
    </row>
    <row r="101" spans="3:3">
      <c r="C101" s="14">
        <f t="shared" ca="1" si="1"/>
        <v>0.82791431128421333</v>
      </c>
    </row>
    <row r="102" spans="3:3">
      <c r="C102" s="14">
        <f t="shared" ca="1" si="1"/>
        <v>0.24344308972254147</v>
      </c>
    </row>
    <row r="103" spans="3:3">
      <c r="C103" s="14">
        <f t="shared" ca="1" si="1"/>
        <v>0.69760604147140537</v>
      </c>
    </row>
    <row r="104" spans="3:3">
      <c r="C104" s="14">
        <f t="shared" ca="1" si="1"/>
        <v>2.9408333881745463E-2</v>
      </c>
    </row>
    <row r="105" spans="3:3">
      <c r="C105" s="14">
        <f t="shared" ca="1" si="1"/>
        <v>0.26442413112321361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selection activeCell="A11" sqref="A11"/>
    </sheetView>
  </sheetViews>
  <sheetFormatPr defaultRowHeight="15"/>
  <cols>
    <col min="1" max="1" width="93.42578125" customWidth="1"/>
  </cols>
  <sheetData>
    <row r="1" spans="1:4" ht="45">
      <c r="A1" s="2" t="s">
        <v>3</v>
      </c>
    </row>
    <row r="3" spans="1:4" ht="96" customHeight="1">
      <c r="A3" s="1" t="s">
        <v>4</v>
      </c>
    </row>
    <row r="5" spans="1:4" ht="36" customHeight="1">
      <c r="A5" s="1" t="s">
        <v>7</v>
      </c>
    </row>
    <row r="7" spans="1:4">
      <c r="A7" t="s">
        <v>5</v>
      </c>
      <c r="D7">
        <f>NORMDIST(55,50,5,TRUE)</f>
        <v>0.84134474606854293</v>
      </c>
    </row>
    <row r="9" spans="1:4">
      <c r="A9" t="s">
        <v>6</v>
      </c>
      <c r="D9">
        <f>NORMDIST(45,50,5,TRUE)</f>
        <v>0.15865525393145707</v>
      </c>
    </row>
    <row r="11" spans="1:4">
      <c r="A11" t="s">
        <v>8</v>
      </c>
      <c r="D11">
        <f>D7-D9</f>
        <v>0.68268949213708585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3"/>
  <sheetViews>
    <sheetView workbookViewId="0">
      <selection activeCell="D5" sqref="D5:H5"/>
    </sheetView>
  </sheetViews>
  <sheetFormatPr defaultRowHeight="15"/>
  <cols>
    <col min="1" max="1" width="80.85546875" customWidth="1"/>
    <col min="6" max="6" width="15.42578125" customWidth="1"/>
    <col min="7" max="7" width="16.42578125" customWidth="1"/>
    <col min="8" max="8" width="20.7109375" customWidth="1"/>
  </cols>
  <sheetData>
    <row r="1" spans="1:13" ht="30">
      <c r="A1" s="2" t="s">
        <v>81</v>
      </c>
    </row>
    <row r="3" spans="1:13">
      <c r="A3" t="s">
        <v>49</v>
      </c>
    </row>
    <row r="5" spans="1:13">
      <c r="D5" s="27"/>
      <c r="E5" s="28" t="s">
        <v>82</v>
      </c>
      <c r="F5" s="29" t="s">
        <v>83</v>
      </c>
      <c r="G5" s="30" t="s">
        <v>84</v>
      </c>
      <c r="H5" s="31" t="s">
        <v>85</v>
      </c>
      <c r="L5" t="s">
        <v>86</v>
      </c>
    </row>
    <row r="6" spans="1:13">
      <c r="E6" s="21">
        <v>40</v>
      </c>
      <c r="F6" s="22">
        <f>AVERAGE(E6:E10)</f>
        <v>50</v>
      </c>
      <c r="G6" s="23">
        <f>STDEV(E6:E10)</f>
        <v>7.9056941504209481</v>
      </c>
      <c r="H6" s="10">
        <f>STANDARDIZE(E6,F6,G6)</f>
        <v>-1.2649110640673518</v>
      </c>
      <c r="L6" s="7"/>
    </row>
    <row r="7" spans="1:13">
      <c r="E7" s="21">
        <v>45</v>
      </c>
      <c r="H7" s="10">
        <f>STANDARDIZE(E7,F6,G6)</f>
        <v>-0.63245553203367588</v>
      </c>
      <c r="M7" s="24" t="s">
        <v>87</v>
      </c>
    </row>
    <row r="8" spans="1:13">
      <c r="E8" s="21">
        <v>50</v>
      </c>
      <c r="H8" s="10">
        <f>STANDARDIZE(E8,F6,G6)</f>
        <v>0</v>
      </c>
      <c r="M8" s="7"/>
    </row>
    <row r="9" spans="1:13">
      <c r="E9" s="21">
        <v>55</v>
      </c>
      <c r="H9" s="10">
        <f>STANDARDIZE(E9,F6,G6)</f>
        <v>0.63245553203367588</v>
      </c>
      <c r="M9" s="24" t="s">
        <v>88</v>
      </c>
    </row>
    <row r="10" spans="1:13">
      <c r="E10" s="21">
        <v>60</v>
      </c>
      <c r="H10" s="10">
        <f>STANDARDIZE(E10,F6,G6)</f>
        <v>1.2649110640673518</v>
      </c>
      <c r="M10" s="7"/>
    </row>
    <row r="11" spans="1:13">
      <c r="H11" s="25"/>
      <c r="M11" s="24" t="s">
        <v>89</v>
      </c>
    </row>
    <row r="12" spans="1:13">
      <c r="M12" s="7"/>
    </row>
    <row r="13" spans="1:13">
      <c r="M13" s="24" t="s">
        <v>90</v>
      </c>
    </row>
    <row r="14" spans="1:13" ht="15.75">
      <c r="D14" s="26" t="s">
        <v>91</v>
      </c>
    </row>
    <row r="16" spans="1:13">
      <c r="E16" s="12" t="s">
        <v>92</v>
      </c>
    </row>
    <row r="17" spans="5:6">
      <c r="F17" t="s">
        <v>93</v>
      </c>
    </row>
    <row r="19" spans="5:6">
      <c r="F19" t="s">
        <v>94</v>
      </c>
    </row>
    <row r="21" spans="5:6">
      <c r="F21" t="s">
        <v>95</v>
      </c>
    </row>
    <row r="23" spans="5:6">
      <c r="F23" t="s">
        <v>96</v>
      </c>
    </row>
    <row r="25" spans="5:6">
      <c r="F25" t="s">
        <v>97</v>
      </c>
    </row>
    <row r="27" spans="5:6">
      <c r="E27" s="12" t="s">
        <v>98</v>
      </c>
    </row>
    <row r="29" spans="5:6">
      <c r="F29" t="s">
        <v>99</v>
      </c>
    </row>
    <row r="31" spans="5:6">
      <c r="F31" t="s">
        <v>100</v>
      </c>
    </row>
    <row r="33" spans="5:6">
      <c r="F33" t="s">
        <v>101</v>
      </c>
    </row>
    <row r="35" spans="5:6" ht="18">
      <c r="E35" s="4" t="s">
        <v>102</v>
      </c>
    </row>
    <row r="36" spans="5:6">
      <c r="E36" s="7"/>
    </row>
    <row r="37" spans="5:6">
      <c r="F37" s="7" t="s">
        <v>103</v>
      </c>
    </row>
    <row r="38" spans="5:6">
      <c r="F38" s="7"/>
    </row>
    <row r="39" spans="5:6">
      <c r="F39" s="7" t="s">
        <v>104</v>
      </c>
    </row>
    <row r="40" spans="5:6">
      <c r="F40" s="7"/>
    </row>
    <row r="41" spans="5:6">
      <c r="F41" s="7" t="s">
        <v>105</v>
      </c>
    </row>
    <row r="42" spans="5:6">
      <c r="F42" s="7"/>
    </row>
    <row r="43" spans="5:6">
      <c r="F43" s="7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>
      <selection activeCell="A9" sqref="A9"/>
    </sheetView>
  </sheetViews>
  <sheetFormatPr defaultRowHeight="15"/>
  <cols>
    <col min="1" max="1" width="81" customWidth="1"/>
  </cols>
  <sheetData>
    <row r="1" spans="1:1" ht="20.25" customHeight="1">
      <c r="A1" s="1" t="s">
        <v>9</v>
      </c>
    </row>
    <row r="3" spans="1:1" ht="45">
      <c r="A3" s="2" t="s">
        <v>10</v>
      </c>
    </row>
    <row r="5" spans="1:1">
      <c r="A5" t="s">
        <v>11</v>
      </c>
    </row>
    <row r="7" spans="1:1">
      <c r="A7" t="s">
        <v>12</v>
      </c>
    </row>
    <row r="8" spans="1:1">
      <c r="A8" t="s">
        <v>13</v>
      </c>
    </row>
    <row r="9" spans="1:1">
      <c r="A9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53"/>
  <sheetViews>
    <sheetView topLeftCell="A29" workbookViewId="0">
      <selection activeCell="A10" sqref="A10"/>
    </sheetView>
  </sheetViews>
  <sheetFormatPr defaultRowHeight="15"/>
  <cols>
    <col min="1" max="1" width="81.42578125" customWidth="1"/>
    <col min="6" max="6" width="12.28515625" customWidth="1"/>
  </cols>
  <sheetData>
    <row r="1" spans="1:6" ht="36.75" customHeight="1">
      <c r="A1" s="1" t="s">
        <v>63</v>
      </c>
    </row>
    <row r="6" spans="1:6">
      <c r="A6" t="s">
        <v>49</v>
      </c>
      <c r="C6" t="s">
        <v>64</v>
      </c>
    </row>
    <row r="8" spans="1:6">
      <c r="D8" s="12" t="s">
        <v>65</v>
      </c>
    </row>
    <row r="10" spans="1:6">
      <c r="E10" t="s">
        <v>66</v>
      </c>
    </row>
    <row r="11" spans="1:6">
      <c r="E11" t="s">
        <v>67</v>
      </c>
    </row>
    <row r="13" spans="1:6">
      <c r="F13" t="s">
        <v>68</v>
      </c>
    </row>
    <row r="15" spans="1:6">
      <c r="F15" t="s">
        <v>69</v>
      </c>
    </row>
    <row r="17" spans="4:6">
      <c r="F17" t="s">
        <v>70</v>
      </c>
    </row>
    <row r="19" spans="4:6">
      <c r="E19" t="s">
        <v>71</v>
      </c>
    </row>
    <row r="21" spans="4:6">
      <c r="D21" s="12" t="s">
        <v>72</v>
      </c>
    </row>
    <row r="23" spans="4:6" ht="15.75">
      <c r="E23" s="20" t="s">
        <v>73</v>
      </c>
    </row>
    <row r="24" spans="4:6">
      <c r="E24" s="16">
        <v>1</v>
      </c>
    </row>
    <row r="25" spans="4:6">
      <c r="E25" s="16">
        <v>2</v>
      </c>
    </row>
    <row r="26" spans="4:6">
      <c r="E26" s="16">
        <v>3</v>
      </c>
    </row>
    <row r="27" spans="4:6">
      <c r="E27" s="16">
        <v>4</v>
      </c>
    </row>
    <row r="28" spans="4:6">
      <c r="E28" s="16">
        <v>5</v>
      </c>
    </row>
    <row r="29" spans="4:6">
      <c r="E29" s="16">
        <v>6</v>
      </c>
    </row>
    <row r="31" spans="4:6">
      <c r="D31" s="12" t="s">
        <v>74</v>
      </c>
    </row>
    <row r="33" spans="4:6" ht="15.75">
      <c r="E33" s="20" t="s">
        <v>73</v>
      </c>
      <c r="F33" s="20" t="s">
        <v>33</v>
      </c>
    </row>
    <row r="34" spans="4:6">
      <c r="E34" s="16">
        <v>1</v>
      </c>
      <c r="F34" s="17">
        <f>1/6</f>
        <v>0.16666666666666666</v>
      </c>
    </row>
    <row r="35" spans="4:6">
      <c r="E35" s="16">
        <v>2</v>
      </c>
      <c r="F35" s="17">
        <f t="shared" ref="F35:F39" si="0">1/6</f>
        <v>0.16666666666666666</v>
      </c>
    </row>
    <row r="36" spans="4:6">
      <c r="E36" s="16">
        <v>3</v>
      </c>
      <c r="F36" s="17">
        <f t="shared" si="0"/>
        <v>0.16666666666666666</v>
      </c>
    </row>
    <row r="37" spans="4:6">
      <c r="E37" s="16">
        <v>4</v>
      </c>
      <c r="F37" s="17">
        <f t="shared" si="0"/>
        <v>0.16666666666666666</v>
      </c>
    </row>
    <row r="38" spans="4:6">
      <c r="E38" s="16">
        <v>5</v>
      </c>
      <c r="F38" s="17">
        <f t="shared" si="0"/>
        <v>0.16666666666666666</v>
      </c>
    </row>
    <row r="39" spans="4:6">
      <c r="E39" s="16">
        <v>6</v>
      </c>
      <c r="F39" s="17">
        <f t="shared" si="0"/>
        <v>0.16666666666666666</v>
      </c>
    </row>
    <row r="41" spans="4:6">
      <c r="E41" t="s">
        <v>75</v>
      </c>
    </row>
    <row r="43" spans="4:6">
      <c r="D43" s="12" t="s">
        <v>76</v>
      </c>
    </row>
    <row r="45" spans="4:6">
      <c r="E45" s="18">
        <f>SUM($E$36:$E$41)</f>
        <v>18</v>
      </c>
    </row>
    <row r="47" spans="4:6">
      <c r="E47" t="s">
        <v>77</v>
      </c>
    </row>
    <row r="48" spans="4:6">
      <c r="E48" t="s">
        <v>78</v>
      </c>
    </row>
    <row r="51" spans="4:4">
      <c r="D51" t="s">
        <v>79</v>
      </c>
    </row>
    <row r="53" spans="4:4">
      <c r="D53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9"/>
  <sheetViews>
    <sheetView topLeftCell="A36" workbookViewId="0">
      <selection activeCell="B43" sqref="B43"/>
    </sheetView>
  </sheetViews>
  <sheetFormatPr defaultRowHeight="15"/>
  <cols>
    <col min="1" max="1" width="80.7109375" customWidth="1"/>
    <col min="4" max="4" width="18" customWidth="1"/>
    <col min="5" max="5" width="19.7109375" customWidth="1"/>
  </cols>
  <sheetData>
    <row r="1" spans="1:3" ht="30">
      <c r="A1" s="2" t="s">
        <v>15</v>
      </c>
    </row>
    <row r="6" spans="1:3">
      <c r="A6" t="s">
        <v>49</v>
      </c>
      <c r="B6" t="s">
        <v>20</v>
      </c>
    </row>
    <row r="8" spans="1:3" ht="18.75">
      <c r="B8" s="3" t="s">
        <v>21</v>
      </c>
    </row>
    <row r="10" spans="1:3">
      <c r="C10" t="s">
        <v>22</v>
      </c>
    </row>
    <row r="11" spans="1:3">
      <c r="C11" t="s">
        <v>23</v>
      </c>
    </row>
    <row r="12" spans="1:3" ht="18">
      <c r="B12" s="4" t="s">
        <v>24</v>
      </c>
    </row>
    <row r="13" spans="1:3">
      <c r="B13" s="5"/>
    </row>
    <row r="14" spans="1:3">
      <c r="C14" s="6" t="s">
        <v>25</v>
      </c>
    </row>
    <row r="15" spans="1:3">
      <c r="C15" s="7"/>
    </row>
    <row r="16" spans="1:3">
      <c r="C16" s="8" t="s">
        <v>26</v>
      </c>
    </row>
    <row r="17" spans="2:8">
      <c r="C17" s="7"/>
    </row>
    <row r="18" spans="2:8">
      <c r="C18" s="8" t="s">
        <v>27</v>
      </c>
    </row>
    <row r="19" spans="2:8">
      <c r="C19" s="7"/>
    </row>
    <row r="20" spans="2:8">
      <c r="C20" s="8" t="s">
        <v>28</v>
      </c>
    </row>
    <row r="21" spans="2:8">
      <c r="C21" s="7"/>
    </row>
    <row r="22" spans="2:8">
      <c r="C22" s="8" t="s">
        <v>29</v>
      </c>
    </row>
    <row r="24" spans="2:8" ht="18.75">
      <c r="B24" s="3" t="s">
        <v>30</v>
      </c>
    </row>
    <row r="26" spans="2:8" ht="18">
      <c r="B26" s="4" t="s">
        <v>31</v>
      </c>
    </row>
    <row r="27" spans="2:8">
      <c r="C27" s="32"/>
      <c r="D27" s="32"/>
      <c r="E27" s="32"/>
      <c r="F27" s="32"/>
      <c r="G27" s="32"/>
      <c r="H27" s="32"/>
    </row>
    <row r="28" spans="2:8" ht="15.75">
      <c r="C28" s="19" t="s">
        <v>32</v>
      </c>
      <c r="D28" s="19" t="s">
        <v>33</v>
      </c>
      <c r="E28" s="32"/>
      <c r="F28" s="32"/>
      <c r="G28" s="32"/>
      <c r="H28" s="32"/>
    </row>
    <row r="29" spans="2:8">
      <c r="C29" s="10">
        <v>15</v>
      </c>
      <c r="D29" s="10">
        <v>0.5</v>
      </c>
    </row>
    <row r="31" spans="2:8">
      <c r="B31" t="s">
        <v>34</v>
      </c>
    </row>
    <row r="33" spans="2:4">
      <c r="C33" s="11" t="s">
        <v>35</v>
      </c>
      <c r="D33">
        <f>BINOMDIST(7,15,0.5,TRUE)</f>
        <v>0.50000000000000011</v>
      </c>
    </row>
    <row r="35" spans="2:4">
      <c r="B35" t="s">
        <v>36</v>
      </c>
    </row>
    <row r="37" spans="2:4">
      <c r="C37" s="11" t="s">
        <v>35</v>
      </c>
      <c r="D37">
        <f>1-D33</f>
        <v>0.49999999999999989</v>
      </c>
    </row>
    <row r="38" spans="2:4">
      <c r="C38" s="12" t="s">
        <v>37</v>
      </c>
    </row>
    <row r="40" spans="2:4">
      <c r="C40" s="11" t="s">
        <v>35</v>
      </c>
      <c r="D40">
        <f>1-BINOMDIST(7,15,0.5,TRUE)</f>
        <v>0.49999999999999989</v>
      </c>
    </row>
    <row r="42" spans="2:4">
      <c r="B42" t="s">
        <v>38</v>
      </c>
    </row>
    <row r="45" spans="2:4">
      <c r="C45" t="s">
        <v>39</v>
      </c>
    </row>
    <row r="47" spans="2:4" ht="18.75">
      <c r="B47" s="3" t="s">
        <v>40</v>
      </c>
    </row>
    <row r="48" spans="2:4">
      <c r="B48" s="7"/>
    </row>
    <row r="49" spans="3:5">
      <c r="C49" s="7" t="s">
        <v>41</v>
      </c>
    </row>
    <row r="50" spans="3:5">
      <c r="C50" s="7"/>
    </row>
    <row r="51" spans="3:5">
      <c r="C51" s="7" t="s">
        <v>42</v>
      </c>
    </row>
    <row r="52" spans="3:5">
      <c r="C52" s="7"/>
    </row>
    <row r="53" spans="3:5">
      <c r="C53" s="7" t="s">
        <v>43</v>
      </c>
    </row>
    <row r="54" spans="3:5">
      <c r="C54" s="7"/>
    </row>
    <row r="55" spans="3:5">
      <c r="C55" s="7" t="s">
        <v>44</v>
      </c>
    </row>
    <row r="57" spans="3:5">
      <c r="D57" s="33" t="s">
        <v>45</v>
      </c>
      <c r="E57" s="33" t="s">
        <v>46</v>
      </c>
    </row>
    <row r="58" spans="3:5">
      <c r="D58" s="33" t="s">
        <v>47</v>
      </c>
      <c r="E58" s="34">
        <f>BINOMDIST(7,15,0.5,TRUE)</f>
        <v>0.50000000000000011</v>
      </c>
    </row>
    <row r="59" spans="3:5">
      <c r="D59" s="33" t="s">
        <v>48</v>
      </c>
      <c r="E59" s="34">
        <f>1-BINOMDIST(7,15,0.5,TRUE)</f>
        <v>0.49999999999999989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"/>
  <sheetViews>
    <sheetView workbookViewId="0">
      <selection activeCell="A7" sqref="A7"/>
    </sheetView>
  </sheetViews>
  <sheetFormatPr defaultRowHeight="15"/>
  <cols>
    <col min="1" max="1" width="81.140625" customWidth="1"/>
  </cols>
  <sheetData>
    <row r="1" spans="1:1" ht="30">
      <c r="A1" s="2" t="s">
        <v>16</v>
      </c>
    </row>
    <row r="3" spans="1:1" ht="60">
      <c r="A3" s="1" t="s">
        <v>17</v>
      </c>
    </row>
    <row r="5" spans="1:1" ht="45">
      <c r="A5" s="2" t="s">
        <v>18</v>
      </c>
    </row>
    <row r="7" spans="1:1" ht="105">
      <c r="A7" s="2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2026-01-08T12:44:38Z</dcterms:modified>
</cp:coreProperties>
</file>